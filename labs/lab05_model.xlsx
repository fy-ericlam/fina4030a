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Income Statement" sheetId="3" state="visible" r:id="rId5"/>
    <sheet name="Balance Sheet" sheetId="4" state="visible" r:id="rId6"/>
    <sheet name="Cash Flow" sheetId="5" state="visible" r:id="rId7"/>
    <sheet name="DCF" sheetId="6" state="visible" r:id="rId8"/>
    <sheet name="Checks" sheetId="7" state="visible" r:id="rId9"/>
    <sheet name="Source Data"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<sst xmlns="http://schemas.openxmlformats.org/spreadsheetml/2006/main" count="481" uniqueCount="369">
  <si>
    <t xml:space="preserve">Texas Instruments Incorporated — Three-Statement Model and DCF</t>
  </si>
  <si>
    <t xml:space="preserve">WHAT THIS IS</t>
  </si>
  <si>
    <t xml:space="preserve">Scope</t>
  </si>
  <si>
    <t xml:space="preserve">Historical FY2021-FY2025 income statement, balance sheet and cash flow, a five-year forecast to FY2030, and a discounted cash flow valuation. Every number in the forecast is a live formula driven from the Assumptions tab.</t>
  </si>
  <si>
    <t xml:space="preserve">Source</t>
  </si>
  <si>
    <t xml:space="preserve">lab05_financials.json — annual XBRL company facts from the SEC companyfacts API for CIK 97476, taken from Form 10-K filings. FY2023, FY2024 and FY2025 come from the FY2025 10-K, accession 0000097476-26-000059, filed 2026-02-06. No data from any other source has been used.</t>
  </si>
  <si>
    <t xml:space="preserve">Units</t>
  </si>
  <si>
    <t xml:space="preserve">$ in millions unless stated. Share counts in millions. Per-share figures in dollars.</t>
  </si>
  <si>
    <t xml:space="preserve">HOW TO DRIVE IT</t>
  </si>
  <si>
    <t xml:space="preserve">1</t>
  </si>
  <si>
    <t xml:space="preserve">Open the Assumptions tab. The yellow-filled blue cells in columns G to K are the only forecast inputs. Historical columns beside them are live formulas showing the actual ratio, so each assumption can be read against what the business did.</t>
  </si>
  <si>
    <t xml:space="preserve">2</t>
  </si>
  <si>
    <t xml:space="preserve">Open the DCF tab. Cost of capital and terminal assumptions are the blue cells at the top. Type a live share price into the yellow cell to get the upside line and the implied market multiple.</t>
  </si>
  <si>
    <t xml:space="preserve">3</t>
  </si>
  <si>
    <t xml:space="preserve">Check the Checks tab. Every integrity test should read OK. The sanity flags are judgement calls, not errors.</t>
  </si>
  <si>
    <t xml:space="preserve">COLOUR CONVENTION</t>
  </si>
  <si>
    <t xml:space="preserve">Blue</t>
  </si>
  <si>
    <t xml:space="preserve">Hardcoded input or scenario lever.</t>
  </si>
  <si>
    <t xml:space="preserve">Black</t>
  </si>
  <si>
    <t xml:space="preserve">Formula calculated on that sheet.</t>
  </si>
  <si>
    <t xml:space="preserve">Green</t>
  </si>
  <si>
    <t xml:space="preserve">Link to another sheet in this workbook.</t>
  </si>
  <si>
    <t xml:space="preserve">Yellow fill</t>
  </si>
  <si>
    <t xml:space="preserve">Key assumption, or a cell you need to fill in.</t>
  </si>
  <si>
    <t xml:space="preserve">WHAT THE HISTORY SHOWS</t>
  </si>
  <si>
    <t xml:space="preserve">The cycle</t>
  </si>
  <si>
    <t xml:space="preserve">Revenue peaked at $20.0bn in FY2022, fell 12.5% and then 10.7% through the analog downcycle, and recovered 13.0% to $17.7bn in FY2025 — still below the FY2022 peak.</t>
  </si>
  <si>
    <t xml:space="preserve">The capex programme</t>
  </si>
  <si>
    <t xml:space="preserve">Capital expenditure ran at 4-7% of revenue before 2021 and at 26-31% in FY2023-FY2025. Net PP&amp;E went from $3.3bn to $12.3bn in five years.</t>
  </si>
  <si>
    <t xml:space="preserve">The margin cost</t>
  </si>
  <si>
    <t xml:space="preserve">Gross margin fell from 68.8% to 57.0% and operating margin from 50.6% to 34.1%, as depreciation on under-utilised new capacity landed in cost of revenue. D&amp;A nearly trebled from $755m to $1,918m and is still climbing.</t>
  </si>
  <si>
    <t xml:space="preserve">The funding</t>
  </si>
  <si>
    <t xml:space="preserve">Free cash flow fell from $6.3bn to $1.3-2.6bn while distributions continued. Total debt rose from $6.8bn to $14.0bn and buybacks were largely suspended — the diluted share count fell only 0.6% a year against 2-3% a year before 2021.</t>
  </si>
  <si>
    <t xml:space="preserve">Working capital</t>
  </si>
  <si>
    <t xml:space="preserve">Days of inventory went from 117 to 253 and eased back to 231. That is roughly $2.9bn of cash absorbed since FY2021.</t>
  </si>
  <si>
    <t xml:space="preserve">THE CENTRAL JUDGEMENT</t>
  </si>
  <si>
    <t xml:space="preserve">The forecast assumes the cycle turns and capital intensity normalises: revenue compounding at about 7% a year, gross margin recovering from 57.0% to 62.0% but NOT back to the 68.8% peak, and capex falling from 25.7% to 12.0% of revenue. That combination is what produces the free cash flow recovery, and it is where the valuation is won or lost. If capex stays near 20% of revenue, or gross margin stalls near 58%, the answer is materially lower. The sensitivity grids on the DCF tab flex cost of capital and the terminal assumption, not these two operating drivers — flex those directly on the Assumptions tab.</t>
  </si>
  <si>
    <t xml:space="preserve">KNOWN LIMITATIONS</t>
  </si>
  <si>
    <t xml:space="preserve">Not reported</t>
  </si>
  <si>
    <t xml:space="preserve">Dividends, buybacks, stock compensation, deferred taxes and the investing section other than capex are absent from the extract. Historical financing and investing totals in this workbook are derived, not as-reported. See the Checks tab for the full list of eleven data-quality flags.</t>
  </si>
  <si>
    <t xml:space="preserve">No market data</t>
  </si>
  <si>
    <t xml:space="preserve">There is no share price, market capitalisation, credit spread or peer multiple in the source. Cost of capital inputs and the capital structure weights are standard assumptions, not calibrated to TI market data.</t>
  </si>
  <si>
    <t xml:space="preserve">Cash is the plug</t>
  </si>
  <si>
    <t xml:space="preserve">There is no revolver. If assumed distributions exceed cash generation, the modelled cash balance simply falls, and the Checks tab flags it. The $3.8bn short-term investment portfolio is held flat rather than drawn, which makes the modelled cash trough conservative.</t>
  </si>
  <si>
    <t xml:space="preserve">BUILT</t>
  </si>
  <si>
    <t xml:space="preserve">Prepared</t>
  </si>
  <si>
    <t xml:space="preserve">15 August 2026, from lab05_financials.json. Formulas are live throughout — no pasted values in any calculated cell.</t>
  </si>
  <si>
    <t xml:space="preserve">Assumptions and Operating Drivers</t>
  </si>
  <si>
    <t xml:space="preserve">BLUE cells in the FY2026E–FY2030E columns are the only inputs that drive the forecast. Historical columns are live formulas showing the actual ratio, so you can see each assumption against what the business did.</t>
  </si>
  <si>
    <t xml:space="preserve">($ in millions, except per-share)</t>
  </si>
  <si>
    <t xml:space="preserve">FY2021A</t>
  </si>
  <si>
    <t xml:space="preserve">FY2022A</t>
  </si>
  <si>
    <t xml:space="preserve">FY2023A</t>
  </si>
  <si>
    <t xml:space="preserve">FY2024A</t>
  </si>
  <si>
    <t xml:space="preserve">FY2025A</t>
  </si>
  <si>
    <t xml:space="preserve">FY2026E</t>
  </si>
  <si>
    <t xml:space="preserve">FY2027E</t>
  </si>
  <si>
    <t xml:space="preserve">FY2028E</t>
  </si>
  <si>
    <t xml:space="preserve">FY2029E</t>
  </si>
  <si>
    <t xml:space="preserve">FY2030E</t>
  </si>
  <si>
    <t xml:space="preserve">Notes / source</t>
  </si>
  <si>
    <t xml:space="preserve">REVENUE AND MARGIN</t>
  </si>
  <si>
    <t xml:space="preserve">    Revenue growth %</t>
  </si>
  <si>
    <t xml:space="preserve">n/a</t>
  </si>
  <si>
    <t xml:space="preserve">FY2023–24 was the analog downcycle (-12.5%, -10.7%); FY2025 recovered +13.0%. Assumes the recovery continues then fades to trend.</t>
  </si>
  <si>
    <t xml:space="preserve">    Gross margin %</t>
  </si>
  <si>
    <t xml:space="preserve">Fell 68.8% -&gt; 57.0% as under-utilised new 300mm capacity depreciates into COGS. Assumes partial recovery on utilisation; NOT a return to the 68% peak, because the depreciation step-up is structural.</t>
  </si>
  <si>
    <t xml:space="preserve">    R&amp;D % of revenue</t>
  </si>
  <si>
    <t xml:space="preserve">R&amp;D is semi-fixed: it rose in dollars while revenue fell. Declining % implies ~3% p.a. dollar growth.</t>
  </si>
  <si>
    <t xml:space="preserve">    SG&amp;A % of revenue</t>
  </si>
  <si>
    <t xml:space="preserve">Same logic as R&amp;D. Implies ~3-4% p.a. dollar growth.</t>
  </si>
  <si>
    <t xml:space="preserve">    Other operating expense/(income) % of revenue</t>
  </si>
  <si>
    <t xml:space="preserve">Restructuring / acquisition charges. Historically -0.8% to +1.3% of revenue and it swung to a NET CREDIT in FY2024. Not forecastable; set to zero.</t>
  </si>
  <si>
    <t xml:space="preserve">    Effective tax rate</t>
  </si>
  <si>
    <t xml:space="preserve">FLAG: actual ETR is only 12.0-12.9% (FDII, R&amp;D credits). Forecast at 14.0% to allow for the FDII deduction step-down and Pillar Two. Holding 12.4% adds roughly $6/share.</t>
  </si>
  <si>
    <t xml:space="preserve">BELOW THE LINE</t>
  </si>
  <si>
    <t xml:space="preserve">    Interest rate on average total debt</t>
  </si>
  <si>
    <t xml:space="preserve">Effective rate rose 2.5% -&gt; 3.9% as low-coupon 2021-22 issuance was topped up at higher rates. 4.3% assumes continued refinancing upward.</t>
  </si>
  <si>
    <t xml:space="preserve">    Yield on average cash and short-term investments</t>
  </si>
  <si>
    <t xml:space="preserve">Drives the 'Other income/(expense), net' line, which historically is mostly interest income on the investment portfolio (residual was $143m-$496m).</t>
  </si>
  <si>
    <t xml:space="preserve">CAPITAL INTENSITY AND WORKING CAPITAL</t>
  </si>
  <si>
    <t xml:space="preserve">    Capex % of revenue</t>
  </si>
  <si>
    <t xml:space="preserve">THE key swing factor. Capex ran 4-7% of revenue pre-2021 and 26-31% in FY2023-25 for the Sherman/Lehi build-out. Assumes a taper, not a return to 5%.</t>
  </si>
  <si>
    <t xml:space="preserve">    D&amp;A as % of opening net PP&amp;E</t>
  </si>
  <si>
    <t xml:space="preserve">Recent actuals 15-18%. D&amp;A nearly trebled ($755m -&gt; $1,918m) and keeps climbing as the new fabs are placed in service — a permanent drag on gross margin.</t>
  </si>
  <si>
    <t xml:space="preserve">    Days sales outstanding</t>
  </si>
  <si>
    <t xml:space="preserve">FY2025 actual 40.5 days.</t>
  </si>
  <si>
    <t xml:space="preserve">    Days inventory outstanding</t>
  </si>
  <si>
    <t xml:space="preserve">FLAG: inventory built from 117 to 253 days over four years, then eased to 231. Assumes a gradual unwind to 190 days. Every 10 days of DIO is roughly $200m of cash.</t>
  </si>
  <si>
    <t xml:space="preserve">    Days payable outstanding</t>
  </si>
  <si>
    <t xml:space="preserve">FY2025 actual 36.3 days.</t>
  </si>
  <si>
    <t xml:space="preserve">FINANCING AND CAPITAL RETURNS</t>
  </si>
  <si>
    <t xml:space="preserve">    Other non-cash and deferred items, % of revenue</t>
  </si>
  <si>
    <t xml:space="preserve">Stock compensation, deferred tax and other non-cash. Historically the residual between reported CFO and (net income + D&amp;A - working capital): +1.7%, -1.0%, -0.5%, +2.9%, +4.6%. 2.0% is the mid.</t>
  </si>
  <si>
    <t xml:space="preserve">    Long-term debt, non-current (held flat)</t>
  </si>
  <si>
    <t xml:space="preserve">Total debt more than doubled ($6.8bn -&gt; $14.0bn) to fund capex and the dividend. Held flat here; cash is the balancing item.</t>
  </si>
  <si>
    <t xml:space="preserve">    Long-term debt, current portion (held flat)</t>
  </si>
  <si>
    <t xml:space="preserve">    Shareholder distributions (dividends + buybacks)</t>
  </si>
  <si>
    <t xml:space="preserve">FLAG: dividends and buybacks are NOT in the source extract. The historical figures shown are DERIVED from the equity roll-forward (net income + non-cash equity credits - change in equity) and land at $3.9bn-$7.3bn. FY2026E is a hardcoded input; later years grow at the rate below.</t>
  </si>
  <si>
    <t xml:space="preserve">       growth in distributions</t>
  </si>
  <si>
    <t xml:space="preserve">FY2026E is set in dollars above; FY2027E onward grow at this rate.</t>
  </si>
  <si>
    <t xml:space="preserve">    Diluted share count change</t>
  </si>
  <si>
    <t xml:space="preserve">Buybacks were largely suspended to fund the fab programme: the count fell only 0.6% p.a. over five years vs 2-3% p.a. before that.</t>
  </si>
  <si>
    <t xml:space="preserve">BALANCE SHEET ITEMS HELD FLAT (not separately tagged in the extract)</t>
  </si>
  <si>
    <t xml:space="preserve">    Short-term investments and other current assets (held flat)</t>
  </si>
  <si>
    <t xml:space="preserve">Not separately tagged in the extract; derived as total current assets less cash, receivables and inventory. Held flat, so modelled cash absorbs the full funding swing (conservative — in practice this portfolio would be drawn first).</t>
  </si>
  <si>
    <t xml:space="preserve">    Goodwill, intangibles and other long-term assets (held flat)</t>
  </si>
  <si>
    <t xml:space="preserve">    Other current liabilities (held flat)</t>
  </si>
  <si>
    <t xml:space="preserve">    Other long-term liabilities (held flat)</t>
  </si>
  <si>
    <t xml:space="preserve">MODEL CONTROLS</t>
  </si>
  <si>
    <t xml:space="preserve">    Minimum operating cash balance (checked on the Checks tab)</t>
  </si>
  <si>
    <t xml:space="preserve">Used only to raise a flag, not to force a revolver draw.</t>
  </si>
  <si>
    <t xml:space="preserve">Consolidated Income Statement</t>
  </si>
  <si>
    <t xml:space="preserve">Green = link to Source Data (as reported). Black = formula. All forecast lines are driven from the Assumptions tab.</t>
  </si>
  <si>
    <t xml:space="preserve">REVENUE</t>
  </si>
  <si>
    <t xml:space="preserve">    Revenue</t>
  </si>
  <si>
    <t xml:space="preserve">           growth %</t>
  </si>
  <si>
    <t xml:space="preserve">    Cost of revenue</t>
  </si>
  <si>
    <t xml:space="preserve">    Gross profit</t>
  </si>
  <si>
    <t xml:space="preserve">           gross margin %</t>
  </si>
  <si>
    <t xml:space="preserve">OPERATING EXPENSES</t>
  </si>
  <si>
    <t xml:space="preserve">    Research and development</t>
  </si>
  <si>
    <t xml:space="preserve">    Selling, general and administrative</t>
  </si>
  <si>
    <t xml:space="preserve">    Other operating expense / (income)</t>
  </si>
  <si>
    <t xml:space="preserve">Historical column is the residual that reconciles gross profit less R&amp;D and SG&amp;A to reported operating income (restructuring and acquisition charges). Reconciled on the Checks tab.</t>
  </si>
  <si>
    <t xml:space="preserve">    Operating income (EBIT)</t>
  </si>
  <si>
    <t xml:space="preserve">           operating margin %</t>
  </si>
  <si>
    <t xml:space="preserve">NON-OPERATING</t>
  </si>
  <si>
    <t xml:space="preserve">    Interest and debt expense</t>
  </si>
  <si>
    <t xml:space="preserve">    Other income / (expense), net</t>
  </si>
  <si>
    <t xml:space="preserve">Historical column is the residual reconciling EBIT less interest expense to reported pre-tax income — predominantly interest income on the cash and investment portfolio. Forecast is calculated on the OPENING cash and investment balance rather than the average, which avoids a circular reference back into the cash plug.</t>
  </si>
  <si>
    <t xml:space="preserve">    Pre-tax income</t>
  </si>
  <si>
    <t xml:space="preserve">    Income tax expense</t>
  </si>
  <si>
    <t xml:space="preserve">           effective tax rate</t>
  </si>
  <si>
    <t xml:space="preserve">    Net income</t>
  </si>
  <si>
    <t xml:space="preserve">           net margin %</t>
  </si>
  <si>
    <t xml:space="preserve">PER SHARE</t>
  </si>
  <si>
    <t xml:space="preserve">    Diluted weighted-average shares (mm)</t>
  </si>
  <si>
    <t xml:space="preserve">    Diluted earnings per share</t>
  </si>
  <si>
    <t xml:space="preserve">MEMO</t>
  </si>
  <si>
    <t xml:space="preserve">    Memo: depreciation and amortisation</t>
  </si>
  <si>
    <t xml:space="preserve">    Memo: EBITDA</t>
  </si>
  <si>
    <t xml:space="preserve">           EBITDA margin %</t>
  </si>
  <si>
    <t xml:space="preserve">Consolidated Balance Sheet</t>
  </si>
  <si>
    <t xml:space="preserve">Historical columns are as reported, with four lines derived as residuals because the extract does not tag them separately (marked in the notes). Forecast cash is the balancing item — there is no revolver.</t>
  </si>
  <si>
    <t xml:space="preserve">ASSETS</t>
  </si>
  <si>
    <t xml:space="preserve">    Cash and cash equivalents</t>
  </si>
  <si>
    <t xml:space="preserve">    Short-term investments and other current assets</t>
  </si>
  <si>
    <t xml:space="preserve">DERIVED: total current assets less cash, receivables and inventory. Not separately tagged in the extract.</t>
  </si>
  <si>
    <t xml:space="preserve">    Accounts receivable, net</t>
  </si>
  <si>
    <t xml:space="preserve">    Inventory, net</t>
  </si>
  <si>
    <t xml:space="preserve">    Total current assets</t>
  </si>
  <si>
    <t xml:space="preserve">    Property, plant and equipment, net</t>
  </si>
  <si>
    <t xml:space="preserve">    Goodwill, intangibles and other long-term assets</t>
  </si>
  <si>
    <t xml:space="preserve">DERIVED: total assets less current assets less net PP&amp;E. Not separately tagged in the extract.</t>
  </si>
  <si>
    <t xml:space="preserve">    TOTAL ASSETS</t>
  </si>
  <si>
    <t xml:space="preserve">LIABILITIES AND EQUITY</t>
  </si>
  <si>
    <t xml:space="preserve">    Accounts payable</t>
  </si>
  <si>
    <t xml:space="preserve">    Long-term debt, current portion</t>
  </si>
  <si>
    <t xml:space="preserve">    Other current liabilities</t>
  </si>
  <si>
    <t xml:space="preserve">DERIVED: total current liabilities less payables less current portion of debt (accrued compensation, taxes payable, etc.).</t>
  </si>
  <si>
    <t xml:space="preserve">    Total current liabilities</t>
  </si>
  <si>
    <t xml:space="preserve">    Long-term debt, non-current</t>
  </si>
  <si>
    <t xml:space="preserve">    Other long-term liabilities</t>
  </si>
  <si>
    <t xml:space="preserve">DERIVED: total liabilities less current liabilities less long-term debt (deferred tax, pension, leases).</t>
  </si>
  <si>
    <t xml:space="preserve">    Total liabilities</t>
  </si>
  <si>
    <t xml:space="preserve">    Total stockholders equity</t>
  </si>
  <si>
    <t xml:space="preserve">Forecast roll-forward: opening equity + net income + non-cash equity credits (stock compensation and other) - cash distributions.</t>
  </si>
  <si>
    <t xml:space="preserve">    TOTAL LIABILITIES AND EQUITY</t>
  </si>
  <si>
    <t xml:space="preserve">BALANCE CHECK</t>
  </si>
  <si>
    <t xml:space="preserve">    CHECK: total assets less total liabilities and equity</t>
  </si>
  <si>
    <t xml:space="preserve">    Memo: total debt</t>
  </si>
  <si>
    <t xml:space="preserve">    Memo: net debt (total debt less cash)</t>
  </si>
  <si>
    <t xml:space="preserve">    Memo: operating working capital (AR + inventory - AP)</t>
  </si>
  <si>
    <t xml:space="preserve">Consolidated Cash Flow Statement</t>
  </si>
  <si>
    <t xml:space="preserve">Historical operating cash flow ties exactly to the reported figure by construction (the non-cash line is the residual). The extract contains no investing or financing detail beyond capex, so those historical lines are derived — see notes.</t>
  </si>
  <si>
    <t xml:space="preserve">OPERATING ACTIVITIES</t>
  </si>
  <si>
    <t xml:space="preserve">    Depreciation and amortisation</t>
  </si>
  <si>
    <t xml:space="preserve">Historical is the XBRL 'Depreciation' tag. Forecast is the assumed rate applied to opening net PP&amp;E.</t>
  </si>
  <si>
    <t xml:space="preserve">    Other non-cash and deferred items</t>
  </si>
  <si>
    <t xml:space="preserve">Stock compensation, deferred tax and other. Historical column is the residual that forces modelled operating cash flow onto the reported figure.</t>
  </si>
  <si>
    <t xml:space="preserve">    (Increase) / decrease in accounts receivable</t>
  </si>
  <si>
    <t xml:space="preserve">    (Increase) / decrease in inventory</t>
  </si>
  <si>
    <t xml:space="preserve">    Increase / (decrease) in accounts payable</t>
  </si>
  <si>
    <t xml:space="preserve">    CASH FLOW FROM OPERATIONS</t>
  </si>
  <si>
    <t xml:space="preserve">INVESTING ACTIVITIES</t>
  </si>
  <si>
    <t xml:space="preserve">    Capital expenditure</t>
  </si>
  <si>
    <t xml:space="preserve">    Net (purchases) / maturities of investments and other investing</t>
  </si>
  <si>
    <t xml:space="preserve">DERIVED PLUG for history: the extract has no investing detail beyond capex, so this line absorbs the movement in the short-term investment portfolio and everything else, forcing cash to tie to the reported balance sheet. Set to zero in the forecast.</t>
  </si>
  <si>
    <t xml:space="preserve">    CASH FLOW FROM INVESTING</t>
  </si>
  <si>
    <t xml:space="preserve">FINANCING ACTIVITIES</t>
  </si>
  <si>
    <t xml:space="preserve">    Net increase / (decrease) in total debt</t>
  </si>
  <si>
    <t xml:space="preserve">    Shareholder distributions (dividends and buybacks)</t>
  </si>
  <si>
    <t xml:space="preserve">FLAG: not in the source extract. History is derived from the equity roll-forward; forecast is an input on the Assumptions tab. Single largest modelled (rather than reported) cash item.</t>
  </si>
  <si>
    <t xml:space="preserve">    CASH FLOW FROM FINANCING</t>
  </si>
  <si>
    <t xml:space="preserve">CASH RECONCILIATION</t>
  </si>
  <si>
    <t xml:space="preserve">    Net change in cash</t>
  </si>
  <si>
    <t xml:space="preserve">    Cash, beginning of period</t>
  </si>
  <si>
    <t xml:space="preserve">    Cash, end of period</t>
  </si>
  <si>
    <t xml:space="preserve">    Memo: free cash flow (operating cash flow less capex)</t>
  </si>
  <si>
    <t xml:space="preserve">           free cash flow margin %</t>
  </si>
  <si>
    <t xml:space="preserve">    Memo: free cash flow after distributions</t>
  </si>
  <si>
    <t xml:space="preserve">Negative means the dividend and buyback are being funded from the balance sheet rather than from cash generation.</t>
  </si>
  <si>
    <t xml:space="preserve">    Memo: reported cash flow from operations (per filing)</t>
  </si>
  <si>
    <t xml:space="preserve">Discounted Cash Flow Valuation</t>
  </si>
  <si>
    <t xml:space="preserve">Unlevered free cash flow, five-year explicit forecast plus a terminal value. Blue cells are inputs. The yellow cell needs a live share price before the upside line means anything.</t>
  </si>
  <si>
    <t xml:space="preserve">COST OF CAPITAL</t>
  </si>
  <si>
    <t xml:space="preserve">    Risk-free rate</t>
  </si>
  <si>
    <t xml:space="preserve">Long-bond yield. Input.</t>
  </si>
  <si>
    <t xml:space="preserve">    Equity risk premium</t>
  </si>
  <si>
    <t xml:space="preserve">Input.</t>
  </si>
  <si>
    <t xml:space="preserve">    Levered beta</t>
  </si>
  <si>
    <t xml:space="preserve">TI screens close to the market. Input.</t>
  </si>
  <si>
    <t xml:space="preserve">    Cost of equity</t>
  </si>
  <si>
    <t xml:space="preserve">    Pre-tax cost of debt</t>
  </si>
  <si>
    <t xml:space="preserve">Marginal new-issue rate, above the 3.9% blended coupon on the existing stack.</t>
  </si>
  <si>
    <t xml:space="preserve">    Tax rate</t>
  </si>
  <si>
    <t xml:space="preserve">Linked to the forecast effective tax rate on the Assumptions tab.</t>
  </si>
  <si>
    <t xml:space="preserve">    After-tax cost of debt</t>
  </si>
  <si>
    <t xml:space="preserve">The low effective tax rate means the interest shield is worth little.</t>
  </si>
  <si>
    <t xml:space="preserve">    Target weight — equity</t>
  </si>
  <si>
    <t xml:space="preserve">Target capital structure. Input, because the model has no market capitalisation until a price is entered below.</t>
  </si>
  <si>
    <t xml:space="preserve">    Target weight — debt</t>
  </si>
  <si>
    <t xml:space="preserve">    WACC</t>
  </si>
  <si>
    <t xml:space="preserve">VALUATION INPUTS</t>
  </si>
  <si>
    <t xml:space="preserve">    Terminal growth rate</t>
  </si>
  <si>
    <t xml:space="preserve">Roughly long-run nominal GDP. Input.</t>
  </si>
  <si>
    <t xml:space="preserve">    Exit EV/EBITDA multiple (cross-check method)</t>
  </si>
  <si>
    <t xml:space="preserve">Used only for the cross-check below, not for the headline.</t>
  </si>
  <si>
    <t xml:space="preserve">    Mid-year convention (1 = on, 0 = off)</t>
  </si>
  <si>
    <t xml:space="preserve">On by default: cash flows are assumed to arrive evenly through the year.</t>
  </si>
  <si>
    <t xml:space="preserve">    Short-term investments treated as cash in the bridge</t>
  </si>
  <si>
    <t xml:space="preserve">Default zero, i.e. only cash and equivalents are credited. TI held roughly $3.8bn of short-term investments and other current assets at FY2025 that are not separately tagged in the extract; crediting them would add about $4/share.</t>
  </si>
  <si>
    <t xml:space="preserve">    Current share price</t>
  </si>
  <si>
    <t xml:space="preserve">ENTER THE LIVE PRICE. Not available in the source extract, so the upside line below reads n/a until this is filled in.</t>
  </si>
  <si>
    <t xml:space="preserve">UNLEVERED FREE CASH FLOW</t>
  </si>
  <si>
    <t xml:space="preserve">($ in millions)</t>
  </si>
  <si>
    <t xml:space="preserve">Notes</t>
  </si>
  <si>
    <t xml:space="preserve">    Less: tax on EBIT</t>
  </si>
  <si>
    <t xml:space="preserve">    NOPAT</t>
  </si>
  <si>
    <t xml:space="preserve">    Plus: depreciation and amortisation</t>
  </si>
  <si>
    <t xml:space="preserve">    Less: capital expenditure</t>
  </si>
  <si>
    <t xml:space="preserve">    Less: increase in operating working capital</t>
  </si>
  <si>
    <t xml:space="preserve">    UNLEVERED FREE CASH FLOW</t>
  </si>
  <si>
    <t xml:space="preserve">    Discount period (years)</t>
  </si>
  <si>
    <t xml:space="preserve">    Discount factor</t>
  </si>
  <si>
    <t xml:space="preserve">    PV of unlevered free cash flow</t>
  </si>
  <si>
    <t xml:space="preserve">ENTERPRISE AND EQUITY VALUE  (Gordon growth terminal value — headline method)</t>
  </si>
  <si>
    <t xml:space="preserve">    PV of explicit forecast free cash flow (FY2026E–FY2030E)</t>
  </si>
  <si>
    <t xml:space="preserve">    Terminal value at FY2030E</t>
  </si>
  <si>
    <t xml:space="preserve">    PV of terminal value</t>
  </si>
  <si>
    <t xml:space="preserve">    ENTERPRISE VALUE</t>
  </si>
  <si>
    <t xml:space="preserve">           terminal value as % of enterprise value</t>
  </si>
  <si>
    <t xml:space="preserve">Above about 75% the answer is mostly an assumption about the terminal year, not about the forecast.</t>
  </si>
  <si>
    <t xml:space="preserve">    Less: total debt (FY2025A)</t>
  </si>
  <si>
    <t xml:space="preserve">    Plus: cash and equivalents (FY2025A)</t>
  </si>
  <si>
    <t xml:space="preserve">    Plus: short-term investments credited</t>
  </si>
  <si>
    <t xml:space="preserve">    EQUITY VALUE</t>
  </si>
  <si>
    <t xml:space="preserve">    Diluted shares outstanding (mm)</t>
  </si>
  <si>
    <t xml:space="preserve">    VALUE PER SHARE</t>
  </si>
  <si>
    <t xml:space="preserve">    Implied upside / (downside) vs current price</t>
  </si>
  <si>
    <t xml:space="preserve">CROSS-CHECKS</t>
  </si>
  <si>
    <t xml:space="preserve">    Implied exit EV/EBITDA embedded in the Gordon terminal value</t>
  </si>
  <si>
    <t xml:space="preserve">If this is far from where analog semiconductors trade, the terminal growth rate is doing too much work.</t>
  </si>
  <si>
    <t xml:space="preserve">    Terminal value on the exit-multiple method</t>
  </si>
  <si>
    <t xml:space="preserve">    Enterprise value — exit-multiple method</t>
  </si>
  <si>
    <t xml:space="preserve">    Value per share — exit-multiple method</t>
  </si>
  <si>
    <t xml:space="preserve">    Perpetuity growth implied by the exit multiple</t>
  </si>
  <si>
    <t xml:space="preserve">    Enterprise value / FY2026E EBITDA</t>
  </si>
  <si>
    <t xml:space="preserve">    Enterprise value / FY2025A EBITDA</t>
  </si>
  <si>
    <t xml:space="preserve">    Implied enterprise value at the current share price</t>
  </si>
  <si>
    <t xml:space="preserve">SENSITIVITY — VALUE PER SHARE:  WACC (rows) vs TERMINAL GROWTH (columns)</t>
  </si>
  <si>
    <t xml:space="preserve">WACC \ terminal growth</t>
  </si>
  <si>
    <t xml:space="preserve">Each cell re-discounts the full five-year forecast and rebuilds the terminal value at that WACC and growth rate — these are live formulas, not a pasted data table.</t>
  </si>
  <si>
    <t xml:space="preserve">SENSITIVITY — VALUE PER SHARE:  WACC (rows) vs EXIT EV/EBITDA MULTIPLE (columns)</t>
  </si>
  <si>
    <t xml:space="preserve">WACC \ exit multiple</t>
  </si>
  <si>
    <t xml:space="preserve">Integrity Checks and Data-Quality Flags</t>
  </si>
  <si>
    <t xml:space="preserve">Every figure below is a live formula. Anything other than "OK" needs looking at before the model is used.</t>
  </si>
  <si>
    <t xml:space="preserve">Check</t>
  </si>
  <si>
    <t xml:space="preserve">Status</t>
  </si>
  <si>
    <t xml:space="preserve">SOURCE DATA INTEGRITY  (tests run on the raw extract, not on the model)</t>
  </si>
  <si>
    <t xml:space="preserve">    Assets less liabilities and equity, as reported</t>
  </si>
  <si>
    <t xml:space="preserve">    Revenue less cost of revenue, less reported gross profit</t>
  </si>
  <si>
    <t xml:space="preserve">    Pre-tax income less tax, less reported net income</t>
  </si>
  <si>
    <t xml:space="preserve">MODEL INTEGRITY</t>
  </si>
  <si>
    <t xml:space="preserve">    Balance sheet: total assets less total liabilities and equity</t>
  </si>
  <si>
    <t xml:space="preserve">    Modelled operating income less reported operating income</t>
  </si>
  <si>
    <t xml:space="preserve">    Modelled pre-tax income less reported pre-tax income</t>
  </si>
  <si>
    <t xml:space="preserve">    Modelled operating cash flow less reported operating cash flow</t>
  </si>
  <si>
    <t xml:space="preserve">    Cash flow closing cash less balance sheet cash</t>
  </si>
  <si>
    <t xml:space="preserve">SANITY FLAGS  (not errors — judgement calls to be aware of)</t>
  </si>
  <si>
    <t xml:space="preserve">    Closing cash versus the minimum operating cash assumption</t>
  </si>
  <si>
    <t xml:space="preserve">Cash is the balancing item and there is no revolver in the model. A negative figure means the assumed distributions cannot be funded from cash generation in that year.</t>
  </si>
  <si>
    <t xml:space="preserve">    Free cash flow after shareholder distributions</t>
  </si>
  <si>
    <t xml:space="preserve">Negative in FY2021 through FY2025 as well — the fab programme and the dividend were part-funded with debt.</t>
  </si>
  <si>
    <t xml:space="preserve">    Terminal value as a share of enterprise value</t>
  </si>
  <si>
    <t xml:space="preserve">Above 80% the valuation is dominated by the terminal assumption.</t>
  </si>
  <si>
    <t xml:space="preserve">    Gross margin in FY2030E versus the FY2022 peak</t>
  </si>
  <si>
    <t xml:space="preserve">A flag here would mean the forecast assumes margins beat the cyclical peak.</t>
  </si>
  <si>
    <t xml:space="preserve">DATA-QUALITY FLAGS FROM THE SOURCE EXTRACT</t>
  </si>
  <si>
    <t xml:space="preserve">Flag</t>
  </si>
  <si>
    <t xml:space="preserve">Detail</t>
  </si>
  <si>
    <t xml:space="preserve">1. Dividends and buybacks are absent from the extract.</t>
  </si>
  <si>
    <t xml:space="preserve">The extract has no financing cash flows at all. Historical shareholder distributions on the Assumptions tab are DERIVED from the equity roll-forward and land at $3.9bn / $7.3bn / $4.1bn / $5.2bn / $6.5bn for FY2021-25. The FY2026E figure is a judgement input. This is the single largest modelled rather than reported number in the workbook.</t>
  </si>
  <si>
    <t xml:space="preserve">2. Depreciation is tagged 'Depreciation', not 'DepreciationDepletionAndAmortization'.</t>
  </si>
  <si>
    <t xml:space="preserve">Amortisation of acquisition-related intangibles is therefore excluded from the D&amp;A used in the cash flow statement, EBITDA and the DCF. For TI in these years the difference is small, but EBITDA is understated to that extent and it is an assumption, not a fact.</t>
  </si>
  <si>
    <t xml:space="preserve">3. Operating income does not tie to gross profit less R&amp;D and SG&amp;A.</t>
  </si>
  <si>
    <t xml:space="preserve">Residuals of +$196m, +$257m, $0m, -$124m and +$117m for FY2021-25 are restructuring and acquisition charges, which the extract does not tag. Note FY2024 is a net CREDIT. Carried as an explicit 'other operating' line and set to zero in the forecast.</t>
  </si>
  <si>
    <t xml:space="preserve">4. Pre-tax income does not tie to operating income less interest expense.</t>
  </si>
  <si>
    <t xml:space="preserve">Residuals of $143m to $496m are 'other income/(expense), net', mostly interest income on the investment portfolio. Carried as an explicit line and forecast off the cash and investment balance.</t>
  </si>
  <si>
    <t xml:space="preserve">5. Only capex is available in investing activities.</t>
  </si>
  <si>
    <t xml:space="preserve">The historical investing line is a derived plug that forces cash to tie to the reported balance sheet, so it also absorbs movements in the short-term investment portfolio. Historical investing and financing totals in this workbook are NOT as-reported figures.</t>
  </si>
  <si>
    <t xml:space="preserve">6. Four balance sheet lines are residuals, not tagged values.</t>
  </si>
  <si>
    <t xml:space="preserve">Short-term investments and other current assets; goodwill, intangibles and other long-term assets; other current liabilities; other long-term liabilities. Each is backed out from a reported subtotal. All four are held flat across the forecast.</t>
  </si>
  <si>
    <t xml:space="preserve">7. Short-term debt is the current portion of long-term debt only.</t>
  </si>
  <si>
    <t xml:space="preserve">The tag is LongTermDebtCurrent. Any commercial paper or revolver would not appear. Total debt shown here may understate gross borrowings.</t>
  </si>
  <si>
    <t xml:space="preserve">8. The effective tax rate is 12.0%-12.9%, well below the 21% statutory rate.</t>
  </si>
  <si>
    <t xml:space="preserve">Driven by FDII and R&amp;D credits. Forecast at 14.0%. Holding the historical rate would add roughly $6 per share; normalising to 18% would remove roughly $10.</t>
  </si>
  <si>
    <t xml:space="preserve">9. Share count is the weighted-average diluted count, not the period-end count.</t>
  </si>
  <si>
    <t xml:space="preserve">Used in the DCF per-share bridge because a period-end count is not in the extract. Minor, but it is a mismatch of convention.</t>
  </si>
  <si>
    <t xml:space="preserve">10. No share price anywhere in the extract.</t>
  </si>
  <si>
    <t xml:space="preserve">The upside line on the DCF tab stays blank until a live price is typed into the yellow cell.</t>
  </si>
  <si>
    <t xml:space="preserve">11. FY2021 and FY2022 figures come from earlier filings than FY2023-25.</t>
  </si>
  <si>
    <t xml:space="preserve">FY2021 income statement data is from the FY2023 10-K and FY2022 from the FY2024 10-K, while FY2023-25 all come from the FY2025 10-K (accession 0000097476-26-000059, filed 2026-02-06). The extract keeps the latest-filed value for each period, so these reflect any restatement. All internal consistency tests still pass.</t>
  </si>
  <si>
    <t xml:space="preserve">Texas Instruments Incorporated — Source Data Extract</t>
  </si>
  <si>
    <t xml:space="preserve">SEC XBRL company facts, CIK 97476. All figures $ in millions as reported. Every value on this tab is a hardcoded input (blue) taken directly from the JSON extract; no value on this tab is derived.</t>
  </si>
  <si>
    <t xml:space="preserve">Source file: lab05_financials.json  |  All FY2025/FY2024/FY2023 facts sourced from the FY2025 Form 10-K, accession 0000097476-26-000059, filed 2026-02-06.</t>
  </si>
  <si>
    <t xml:space="preserve">INCOME STATEMENT</t>
  </si>
  <si>
    <t xml:space="preserve">RevenueFromContractWithCustomerExcludingAssessedTax</t>
  </si>
  <si>
    <t xml:space="preserve">CostOfGoodsAndServicesSold</t>
  </si>
  <si>
    <t xml:space="preserve">GrossProfit</t>
  </si>
  <si>
    <t xml:space="preserve">ResearchAndDevelopmentExpense</t>
  </si>
  <si>
    <t xml:space="preserve">SellingGeneralAndAdministrativeExpense</t>
  </si>
  <si>
    <t xml:space="preserve">    Operating income</t>
  </si>
  <si>
    <t xml:space="preserve">OperatingIncomeLoss</t>
  </si>
  <si>
    <t xml:space="preserve">InterestAndDebtExpense</t>
  </si>
  <si>
    <t xml:space="preserve">IncomeLossFromContinuingOperationsBeforeIncomeTaxesExtraordinaryItemsNoncontrollingInterest</t>
  </si>
  <si>
    <t xml:space="preserve">Tag: IncomeLossFromContinuingOperationsBeforeIncomeTaxesExtraordinaryItemsNoncontrollingInterest</t>
  </si>
  <si>
    <t xml:space="preserve">IncomeTaxExpenseBenefit</t>
  </si>
  <si>
    <t xml:space="preserve">NetIncomeLoss</t>
  </si>
  <si>
    <t xml:space="preserve">WeightedAverageNumberOfDilutedSharesOutstanding</t>
  </si>
  <si>
    <t xml:space="preserve">Weighted-average DILUTED shares. Used for EPS and for the DCF per-share bridge (period-end count not in extract).</t>
  </si>
  <si>
    <t xml:space="preserve">CASH FLOW</t>
  </si>
  <si>
    <t xml:space="preserve">    Depreciation</t>
  </si>
  <si>
    <t xml:space="preserve">Depreciation</t>
  </si>
  <si>
    <t xml:space="preserve">TAG RISK: XBRL tag is 'Depreciation', NOT 'DepreciationDepletionAndAmortization'. Excludes amortisation of acquisition-related intangibles. Used as total D&amp;A throughout.</t>
  </si>
  <si>
    <t xml:space="preserve">PaymentsToAcquirePropertyPlantAndEquipment</t>
  </si>
  <si>
    <t xml:space="preserve">PaymentsToAcquirePropertyPlantAndEquipment. Investing section otherwise absent from extract.</t>
  </si>
  <si>
    <t xml:space="preserve">    Cash flow from operations</t>
  </si>
  <si>
    <t xml:space="preserve">NetCashProvidedByUsedInOperatingActivities</t>
  </si>
  <si>
    <t xml:space="preserve">Reported total CFO. No sub-components (stock comp, deferred tax, WC detail) in the extract.</t>
  </si>
  <si>
    <t xml:space="preserve">BALANCE SHEET</t>
  </si>
  <si>
    <t xml:space="preserve">CashAndCashEquivalentsAtCarryingValue</t>
  </si>
  <si>
    <t xml:space="preserve">AccountsReceivableNetCurrent</t>
  </si>
  <si>
    <t xml:space="preserve">InventoryNet</t>
  </si>
  <si>
    <t xml:space="preserve">AssetsCurrent</t>
  </si>
  <si>
    <t xml:space="preserve">PropertyPlantAndEquipmentNet</t>
  </si>
  <si>
    <t xml:space="preserve">    Total assets</t>
  </si>
  <si>
    <t xml:space="preserve">Assets</t>
  </si>
  <si>
    <t xml:space="preserve">AccountsPayableCurrent</t>
  </si>
  <si>
    <t xml:space="preserve">LiabilitiesCurrent</t>
  </si>
  <si>
    <t xml:space="preserve">LongTermDebtCurrent</t>
  </si>
  <si>
    <t xml:space="preserve">Tag is 'LongTermDebtCurrent' = current portion of LT debt only. Sits inside total current liabilities. No separate commercial paper / revolver line in the extract.</t>
  </si>
  <si>
    <t xml:space="preserve">LongTermDebtNoncurrent</t>
  </si>
  <si>
    <t xml:space="preserve">Liabilities</t>
  </si>
  <si>
    <t xml:space="preserve">StockholdersEquity</t>
  </si>
  <si>
    <t xml:space="preserve">FY2020 OPENING BALANCES (needed for the FY2021 roll-forwards)</t>
  </si>
  <si>
    <t xml:space="preserve">FY2020A</t>
  </si>
  <si>
    <t xml:space="preserve">FY2020 balances from the same companyfacts extract (2020-12-31 period end).</t>
  </si>
</sst>
</file>

<file path=xl/styles.xml><?xml version="1.0" encoding="utf-8"?>
<styleSheet xmlns="http://schemas.openxmlformats.org/spreadsheetml/2006/main">
  <numFmts count="14">
    <numFmt numFmtId="164" formatCode="General"/>
    <numFmt numFmtId="165" formatCode="@"/>
    <numFmt numFmtId="166" formatCode="0.0%;\(0.0%\);\-"/>
    <numFmt numFmtId="167" formatCode="0.00%"/>
    <numFmt numFmtId="168" formatCode="0.0"/>
    <numFmt numFmtId="169" formatCode="\$#,##0;&quot;($&quot;#,##0\);\-"/>
    <numFmt numFmtId="170" formatCode="#,##0.0;\(#,##0.0\);\-"/>
    <numFmt numFmtId="171" formatCode="\$#,##0.00;&quot;($&quot;#,##0.00\);\-"/>
    <numFmt numFmtId="172" formatCode="#,##0.0;\(#,##0.0\);&quot;OK - 0&quot;"/>
    <numFmt numFmtId="173" formatCode="0.00"/>
    <numFmt numFmtId="174" formatCode="0.0\x"/>
    <numFmt numFmtId="175" formatCode="0"/>
    <numFmt numFmtId="176" formatCode="0.000"/>
    <numFmt numFmtId="177" formatCode="#,##0.0;\(#,##0.0\);\0"/>
  </numFmts>
  <fonts count="18">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1"/>
      <color rgb="FF1F3864"/>
      <name val="Arial"/>
      <family val="0"/>
      <charset val="1"/>
    </font>
    <font>
      <sz val="10"/>
      <color rgb="FF000000"/>
      <name val="Arial"/>
      <family val="0"/>
      <charset val="1"/>
    </font>
    <font>
      <b val="true"/>
      <sz val="10"/>
      <name val="Arial"/>
      <family val="0"/>
      <charset val="1"/>
    </font>
    <font>
      <sz val="10"/>
      <name val="Arial"/>
      <family val="0"/>
      <charset val="1"/>
    </font>
    <font>
      <b val="true"/>
      <sz val="14"/>
      <name val="Arial"/>
      <family val="0"/>
      <charset val="1"/>
    </font>
    <font>
      <i val="true"/>
      <sz val="10"/>
      <color rgb="FF555555"/>
      <name val="Arial"/>
      <family val="0"/>
      <charset val="1"/>
    </font>
    <font>
      <b val="true"/>
      <sz val="10"/>
      <color rgb="FFFFFFFF"/>
      <name val="Arial"/>
      <family val="0"/>
      <charset val="1"/>
    </font>
    <font>
      <b val="true"/>
      <sz val="10"/>
      <color rgb="FF1F3864"/>
      <name val="Arial"/>
      <family val="0"/>
      <charset val="1"/>
    </font>
    <font>
      <i val="true"/>
      <sz val="9"/>
      <color rgb="FF666666"/>
      <name val="Arial"/>
      <family val="0"/>
      <charset val="1"/>
    </font>
    <font>
      <sz val="10"/>
      <color rgb="FF008000"/>
      <name val="Arial"/>
      <family val="0"/>
      <charset val="1"/>
    </font>
    <font>
      <sz val="10"/>
      <color rgb="FF0000FF"/>
      <name val="Arial"/>
      <family val="0"/>
      <charset val="1"/>
    </font>
    <font>
      <b val="true"/>
      <sz val="9"/>
      <name val="Arial"/>
      <family val="0"/>
      <charset val="1"/>
    </font>
    <font>
      <sz val="9"/>
      <name val="Arial"/>
      <family val="0"/>
      <charset val="1"/>
    </font>
  </fonts>
  <fills count="7">
    <fill>
      <patternFill patternType="none"/>
    </fill>
    <fill>
      <patternFill patternType="gray125"/>
    </fill>
    <fill>
      <patternFill patternType="solid">
        <fgColor rgb="FFDDEBF7"/>
        <bgColor rgb="FFF2F2F2"/>
      </patternFill>
    </fill>
    <fill>
      <patternFill patternType="solid">
        <fgColor rgb="FF1F3864"/>
        <bgColor rgb="FF333399"/>
      </patternFill>
    </fill>
    <fill>
      <patternFill patternType="solid">
        <fgColor rgb="FFFFFF00"/>
        <bgColor rgb="FFFFFF00"/>
      </patternFill>
    </fill>
    <fill>
      <patternFill patternType="solid">
        <fgColor rgb="FFFFF2CC"/>
        <bgColor rgb="FFF2F2F2"/>
      </patternFill>
    </fill>
    <fill>
      <patternFill patternType="solid">
        <fgColor rgb="FFF2F2F2"/>
        <bgColor rgb="FFDDEBF7"/>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xf numFmtId="165" fontId="11" fillId="3" borderId="0" xfId="0" applyFont="true" applyBorder="fals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6" fontId="15" fillId="4"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7" fontId="15" fillId="4"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center" vertical="bottom" textRotation="0" wrapText="false" indent="0" shrinkToFit="false"/>
      <protection locked="true" hidden="false"/>
    </xf>
    <xf numFmtId="168" fontId="14" fillId="0" borderId="0" xfId="0" applyFont="true" applyBorder="false" applyAlignment="true" applyProtection="true">
      <alignment horizontal="general" vertical="bottom" textRotation="0" wrapText="false" indent="0" shrinkToFit="false"/>
      <protection locked="true" hidden="false"/>
    </xf>
    <xf numFmtId="168" fontId="15" fillId="4"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center" vertical="bottom" textRotation="0" wrapText="false" indent="0" shrinkToFit="false"/>
      <protection locked="true" hidden="false"/>
    </xf>
    <xf numFmtId="169" fontId="14" fillId="0" borderId="0" xfId="0" applyFont="true" applyBorder="false" applyAlignment="true" applyProtection="true">
      <alignment horizontal="general" vertical="bottom" textRotation="0" wrapText="false" indent="0" shrinkToFit="false"/>
      <protection locked="true" hidden="false"/>
    </xf>
    <xf numFmtId="169" fontId="15" fillId="4" borderId="0" xfId="0" applyFont="true" applyBorder="false" applyAlignment="true" applyProtection="true">
      <alignment horizontal="general" vertical="bottom" textRotation="0" wrapText="false" indent="0" shrinkToFit="false"/>
      <protection locked="true" hidden="false"/>
    </xf>
    <xf numFmtId="169" fontId="6" fillId="4" borderId="0" xfId="0" applyFont="true" applyBorder="false" applyAlignment="true" applyProtection="true">
      <alignment horizontal="general" vertical="bottom" textRotation="0" wrapText="false" indent="0" shrinkToFit="false"/>
      <protection locked="true" hidden="false"/>
    </xf>
    <xf numFmtId="166" fontId="13" fillId="4" borderId="0" xfId="0" applyFont="true" applyBorder="false" applyAlignment="true" applyProtection="true">
      <alignment horizontal="center"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9" fontId="7" fillId="0" borderId="1" xfId="0" applyFont="true" applyBorder="true" applyAlignment="true" applyProtection="true">
      <alignment horizontal="general" vertical="bottom" textRotation="0" wrapText="false" indent="0" shrinkToFit="false"/>
      <protection locked="true" hidden="false"/>
    </xf>
    <xf numFmtId="169" fontId="7" fillId="0" borderId="2" xfId="0" applyFont="true" applyBorder="true" applyAlignment="true" applyProtection="true">
      <alignment horizontal="general" vertical="bottom" textRotation="0" wrapText="false" indent="0" shrinkToFit="false"/>
      <protection locked="true" hidden="false"/>
    </xf>
    <xf numFmtId="170" fontId="14"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2" fontId="6"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center"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73" fontId="15"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7" fontId="7" fillId="5" borderId="0" xfId="0" applyFont="true" applyBorder="false" applyAlignment="true" applyProtection="true">
      <alignment horizontal="general" vertical="bottom" textRotation="0" wrapText="false" indent="0" shrinkToFit="false"/>
      <protection locked="true" hidden="false"/>
    </xf>
    <xf numFmtId="174" fontId="15" fillId="0" borderId="0" xfId="0" applyFont="true" applyBorder="false" applyAlignment="true" applyProtection="true">
      <alignment horizontal="general" vertical="bottom" textRotation="0" wrapText="false" indent="0" shrinkToFit="false"/>
      <protection locked="true" hidden="false"/>
    </xf>
    <xf numFmtId="175" fontId="15" fillId="0" borderId="0" xfId="0" applyFont="true" applyBorder="false" applyAlignment="true" applyProtection="true">
      <alignment horizontal="general" vertical="bottom" textRotation="0" wrapText="false" indent="0" shrinkToFit="false"/>
      <protection locked="true" hidden="false"/>
    </xf>
    <xf numFmtId="169" fontId="15" fillId="0" borderId="0" xfId="0" applyFont="true" applyBorder="false" applyAlignment="true" applyProtection="true">
      <alignment horizontal="general" vertical="bottom" textRotation="0" wrapText="false" indent="0" shrinkToFit="false"/>
      <protection locked="true" hidden="false"/>
    </xf>
    <xf numFmtId="171" fontId="15" fillId="4" borderId="0" xfId="0" applyFont="true" applyBorder="false" applyAlignment="true" applyProtection="true">
      <alignment horizontal="general" vertical="bottom" textRotation="0" wrapText="false" indent="0" shrinkToFit="false"/>
      <protection locked="true" hidden="false"/>
    </xf>
    <xf numFmtId="173" fontId="6" fillId="0" borderId="0" xfId="0" applyFont="true" applyBorder="false" applyAlignment="true" applyProtection="true">
      <alignment horizontal="general" vertical="bottom" textRotation="0" wrapText="false" indent="0" shrinkToFit="false"/>
      <protection locked="true" hidden="false"/>
    </xf>
    <xf numFmtId="176" fontId="6" fillId="0" borderId="0" xfId="0" applyFont="true" applyBorder="false" applyAlignment="true" applyProtection="true">
      <alignment horizontal="general" vertical="bottom" textRotation="0" wrapText="false" indent="0" shrinkToFit="false"/>
      <protection locked="true" hidden="false"/>
    </xf>
    <xf numFmtId="169" fontId="7" fillId="5" borderId="0" xfId="0" applyFont="true" applyBorder="false" applyAlignment="true" applyProtection="true">
      <alignment horizontal="general" vertical="bottom" textRotation="0" wrapText="false" indent="0" shrinkToFit="false"/>
      <protection locked="true" hidden="false"/>
    </xf>
    <xf numFmtId="171" fontId="7" fillId="5" borderId="0" xfId="0" applyFont="true" applyBorder="false" applyAlignment="true" applyProtection="true">
      <alignment horizontal="general" vertical="bottom" textRotation="0" wrapText="false" indent="0" shrinkToFit="false"/>
      <protection locked="true" hidden="false"/>
    </xf>
    <xf numFmtId="174" fontId="6" fillId="0"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bottom" textRotation="0" wrapText="false" indent="0" shrinkToFit="false"/>
      <protection locked="true" hidden="false"/>
    </xf>
    <xf numFmtId="166" fontId="11" fillId="3" borderId="0" xfId="0" applyFont="true" applyBorder="false" applyAlignment="true" applyProtection="true">
      <alignment horizontal="center" vertical="bottom" textRotation="0" wrapText="false" indent="0" shrinkToFit="false"/>
      <protection locked="true" hidden="false"/>
    </xf>
    <xf numFmtId="167" fontId="15" fillId="6" borderId="0" xfId="0" applyFont="true" applyBorder="false" applyAlignment="true" applyProtection="true">
      <alignment horizontal="center" vertical="bottom" textRotation="0" wrapText="false" indent="0" shrinkToFit="false"/>
      <protection locked="true" hidden="false"/>
    </xf>
    <xf numFmtId="171" fontId="6" fillId="0" borderId="0" xfId="0" applyFont="true" applyBorder="false" applyAlignment="true" applyProtection="true">
      <alignment horizontal="center" vertical="bottom" textRotation="0" wrapText="false" indent="0" shrinkToFit="false"/>
      <protection locked="true" hidden="false"/>
    </xf>
    <xf numFmtId="174" fontId="11" fillId="3" borderId="0" xfId="0" applyFont="true" applyBorder="false" applyAlignment="true" applyProtection="true">
      <alignment horizontal="center" vertical="bottom" textRotation="0" wrapText="false" indent="0" shrinkToFit="false"/>
      <protection locked="true" hidden="false"/>
    </xf>
    <xf numFmtId="177"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70" fontId="1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000"/>
      <rgbColor rgb="FFFF9900"/>
      <rgbColor rgb="FFFF6600"/>
      <rgbColor rgb="FF666666"/>
      <rgbColor rgb="FF969696"/>
      <rgbColor rgb="FF1F3864"/>
      <rgbColor rgb="FF00B050"/>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35"/>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13" min="2" style="1" width="8"/>
    <col collapsed="false" customWidth="true" hidden="false" outlineLevel="0" max="15" min="14" style="1" width="30"/>
  </cols>
  <sheetData>
    <row r="1" customFormat="false" ht="19.7" hidden="false" customHeight="false" outlineLevel="0" collapsed="false">
      <c r="A1" s="2" t="s">
        <v>0</v>
      </c>
    </row>
    <row r="3" customFormat="false" ht="15" hidden="false" customHeight="false" outlineLevel="0" collapsed="false">
      <c r="A3" s="3" t="s">
        <v>1</v>
      </c>
      <c r="B3" s="4"/>
    </row>
    <row r="4" customFormat="false" ht="27.75" hidden="false" customHeight="true" outlineLevel="0" collapsed="false">
      <c r="A4" s="5" t="s">
        <v>2</v>
      </c>
      <c r="B4" s="6" t="s">
        <v>3</v>
      </c>
    </row>
    <row r="5" customFormat="false" ht="42" hidden="false" customHeight="true" outlineLevel="0" collapsed="false">
      <c r="A5" s="5" t="s">
        <v>4</v>
      </c>
      <c r="B5" s="6" t="s">
        <v>5</v>
      </c>
    </row>
    <row r="6" customFormat="false" ht="15" hidden="false" customHeight="true" outlineLevel="0" collapsed="false">
      <c r="A6" s="5" t="s">
        <v>6</v>
      </c>
      <c r="B6" s="6" t="s">
        <v>7</v>
      </c>
    </row>
    <row r="8" customFormat="false" ht="15" hidden="false" customHeight="false" outlineLevel="0" collapsed="false">
      <c r="A8" s="3" t="s">
        <v>8</v>
      </c>
      <c r="B8" s="4"/>
    </row>
    <row r="9" customFormat="false" ht="27.75" hidden="false" customHeight="true" outlineLevel="0" collapsed="false">
      <c r="A9" s="5" t="s">
        <v>9</v>
      </c>
      <c r="B9" s="6" t="s">
        <v>10</v>
      </c>
    </row>
    <row r="10" customFormat="false" ht="27.75" hidden="false" customHeight="true" outlineLevel="0" collapsed="false">
      <c r="A10" s="5" t="s">
        <v>11</v>
      </c>
      <c r="B10" s="6" t="s">
        <v>12</v>
      </c>
    </row>
    <row r="11" customFormat="false" ht="15" hidden="false" customHeight="true" outlineLevel="0" collapsed="false">
      <c r="A11" s="5" t="s">
        <v>13</v>
      </c>
      <c r="B11" s="6" t="s">
        <v>14</v>
      </c>
    </row>
    <row r="13" customFormat="false" ht="15" hidden="false" customHeight="false" outlineLevel="0" collapsed="false">
      <c r="A13" s="3" t="s">
        <v>15</v>
      </c>
      <c r="B13" s="4"/>
    </row>
    <row r="14" customFormat="false" ht="15" hidden="false" customHeight="true" outlineLevel="0" collapsed="false">
      <c r="A14" s="5" t="s">
        <v>16</v>
      </c>
      <c r="B14" s="6" t="s">
        <v>17</v>
      </c>
    </row>
    <row r="15" customFormat="false" ht="15" hidden="false" customHeight="true" outlineLevel="0" collapsed="false">
      <c r="A15" s="5" t="s">
        <v>18</v>
      </c>
      <c r="B15" s="6" t="s">
        <v>19</v>
      </c>
    </row>
    <row r="16" customFormat="false" ht="15" hidden="false" customHeight="true" outlineLevel="0" collapsed="false">
      <c r="A16" s="5" t="s">
        <v>20</v>
      </c>
      <c r="B16" s="6" t="s">
        <v>21</v>
      </c>
    </row>
    <row r="17" customFormat="false" ht="15" hidden="false" customHeight="true" outlineLevel="0" collapsed="false">
      <c r="A17" s="5" t="s">
        <v>22</v>
      </c>
      <c r="B17" s="6" t="s">
        <v>23</v>
      </c>
    </row>
    <row r="19" customFormat="false" ht="15" hidden="false" customHeight="false" outlineLevel="0" collapsed="false">
      <c r="A19" s="3" t="s">
        <v>24</v>
      </c>
      <c r="B19" s="4"/>
    </row>
    <row r="20" customFormat="false" ht="27.75" hidden="false" customHeight="true" outlineLevel="0" collapsed="false">
      <c r="A20" s="5" t="s">
        <v>25</v>
      </c>
      <c r="B20" s="6" t="s">
        <v>26</v>
      </c>
    </row>
    <row r="21" customFormat="false" ht="27.75" hidden="false" customHeight="true" outlineLevel="0" collapsed="false">
      <c r="A21" s="5" t="s">
        <v>27</v>
      </c>
      <c r="B21" s="6" t="s">
        <v>28</v>
      </c>
    </row>
    <row r="22" customFormat="false" ht="27.75" hidden="false" customHeight="true" outlineLevel="0" collapsed="false">
      <c r="A22" s="5" t="s">
        <v>29</v>
      </c>
      <c r="B22" s="6" t="s">
        <v>30</v>
      </c>
    </row>
    <row r="23" customFormat="false" ht="27.75" hidden="false" customHeight="true" outlineLevel="0" collapsed="false">
      <c r="A23" s="5" t="s">
        <v>31</v>
      </c>
      <c r="B23" s="6" t="s">
        <v>32</v>
      </c>
    </row>
    <row r="24" customFormat="false" ht="15" hidden="false" customHeight="true" outlineLevel="0" collapsed="false">
      <c r="A24" s="5" t="s">
        <v>33</v>
      </c>
      <c r="B24" s="6" t="s">
        <v>34</v>
      </c>
    </row>
    <row r="26" customFormat="false" ht="15" hidden="false" customHeight="false" outlineLevel="0" collapsed="false">
      <c r="A26" s="3" t="s">
        <v>35</v>
      </c>
      <c r="B26" s="4"/>
    </row>
    <row r="27" customFormat="false" ht="84" hidden="false" customHeight="true" outlineLevel="0" collapsed="false">
      <c r="A27" s="5"/>
      <c r="B27" s="6" t="s">
        <v>36</v>
      </c>
    </row>
    <row r="29" customFormat="false" ht="15" hidden="false" customHeight="false" outlineLevel="0" collapsed="false">
      <c r="A29" s="3" t="s">
        <v>37</v>
      </c>
      <c r="B29" s="4"/>
    </row>
    <row r="30" customFormat="false" ht="42" hidden="false" customHeight="true" outlineLevel="0" collapsed="false">
      <c r="A30" s="5" t="s">
        <v>38</v>
      </c>
      <c r="B30" s="6" t="s">
        <v>39</v>
      </c>
    </row>
    <row r="31" customFormat="false" ht="27.75" hidden="false" customHeight="true" outlineLevel="0" collapsed="false">
      <c r="A31" s="5" t="s">
        <v>40</v>
      </c>
      <c r="B31" s="6" t="s">
        <v>41</v>
      </c>
    </row>
    <row r="32" customFormat="false" ht="42" hidden="false" customHeight="true" outlineLevel="0" collapsed="false">
      <c r="A32" s="5" t="s">
        <v>42</v>
      </c>
      <c r="B32" s="6" t="s">
        <v>43</v>
      </c>
    </row>
    <row r="34" customFormat="false" ht="15" hidden="false" customHeight="false" outlineLevel="0" collapsed="false">
      <c r="A34" s="3" t="s">
        <v>44</v>
      </c>
      <c r="B34" s="4"/>
    </row>
    <row r="35" customFormat="false" ht="15" hidden="false" customHeight="true" outlineLevel="0" collapsed="false">
      <c r="A35" s="5" t="s">
        <v>45</v>
      </c>
      <c r="B35" s="6"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2.5"/>
    <col collapsed="false" customWidth="true" hidden="false" outlineLevel="0" max="12" min="12" style="1" width="4"/>
    <col collapsed="false" customWidth="true" hidden="false" outlineLevel="0" max="15" min="13" style="1" width="30"/>
  </cols>
  <sheetData>
    <row r="1" customFormat="false" ht="17.35" hidden="false" customHeight="false" outlineLevel="0" collapsed="false">
      <c r="A1" s="7" t="s">
        <v>47</v>
      </c>
    </row>
    <row r="2" customFormat="false" ht="15" hidden="false" customHeight="false" outlineLevel="0" collapsed="false">
      <c r="A2" s="8" t="s">
        <v>48</v>
      </c>
    </row>
    <row r="4" customFormat="false" ht="15" hidden="false" customHeight="false" outlineLevel="0" collapsed="false">
      <c r="A4" s="9" t="s">
        <v>49</v>
      </c>
      <c r="B4" s="10" t="s">
        <v>50</v>
      </c>
      <c r="C4" s="10" t="s">
        <v>51</v>
      </c>
      <c r="D4" s="10" t="s">
        <v>52</v>
      </c>
      <c r="E4" s="10" t="s">
        <v>53</v>
      </c>
      <c r="F4" s="10" t="s">
        <v>54</v>
      </c>
      <c r="G4" s="10" t="s">
        <v>55</v>
      </c>
      <c r="H4" s="10" t="s">
        <v>56</v>
      </c>
      <c r="I4" s="10" t="s">
        <v>57</v>
      </c>
      <c r="J4" s="10" t="s">
        <v>58</v>
      </c>
      <c r="K4" s="10" t="s">
        <v>59</v>
      </c>
      <c r="L4" s="11"/>
      <c r="M4" s="9" t="s">
        <v>60</v>
      </c>
    </row>
    <row r="5" customFormat="false" ht="15" hidden="false" customHeight="false" outlineLevel="0" collapsed="false">
      <c r="A5" s="12" t="s">
        <v>61</v>
      </c>
      <c r="B5" s="13"/>
      <c r="C5" s="13"/>
      <c r="D5" s="13"/>
      <c r="E5" s="13"/>
      <c r="F5" s="13"/>
      <c r="G5" s="13"/>
      <c r="H5" s="13"/>
      <c r="I5" s="13"/>
      <c r="J5" s="13"/>
      <c r="K5" s="13"/>
      <c r="L5" s="13"/>
      <c r="M5" s="13"/>
    </row>
    <row r="6" customFormat="false" ht="43.25" hidden="false" customHeight="false" outlineLevel="0" collapsed="false">
      <c r="A6" s="14" t="s">
        <v>62</v>
      </c>
      <c r="B6" s="15" t="s">
        <v>63</v>
      </c>
      <c r="C6" s="16" t="n">
        <f aca="false">'Source Data'!C$7/'Source Data'!B$7-1</f>
        <v>0.0918011338857392</v>
      </c>
      <c r="D6" s="16" t="n">
        <f aca="false">'Source Data'!D$7/'Source Data'!C$7-1</f>
        <v>-0.125274615538246</v>
      </c>
      <c r="E6" s="16" t="n">
        <f aca="false">'Source Data'!E$7/'Source Data'!D$7-1</f>
        <v>-0.107197899423483</v>
      </c>
      <c r="F6" s="16" t="n">
        <f aca="false">'Source Data'!F$7/'Source Data'!E$7-1</f>
        <v>0.130490377853078</v>
      </c>
      <c r="G6" s="17" t="n">
        <v>0.1</v>
      </c>
      <c r="H6" s="17" t="n">
        <v>0.08</v>
      </c>
      <c r="I6" s="17" t="n">
        <v>0.07</v>
      </c>
      <c r="J6" s="17" t="n">
        <v>0.06</v>
      </c>
      <c r="K6" s="17" t="n">
        <v>0.05</v>
      </c>
      <c r="M6" s="18" t="s">
        <v>64</v>
      </c>
    </row>
    <row r="7" customFormat="false" ht="64.15" hidden="false" customHeight="false" outlineLevel="0" collapsed="false">
      <c r="A7" s="14" t="s">
        <v>65</v>
      </c>
      <c r="B7" s="16" t="n">
        <f aca="false">'Source Data'!B$9/'Source Data'!B$7</f>
        <v>0.674662014827737</v>
      </c>
      <c r="C7" s="16" t="n">
        <f aca="false">'Source Data'!C$9/'Source Data'!C$7</f>
        <v>0.68758737767126</v>
      </c>
      <c r="D7" s="16" t="n">
        <f aca="false">'Source Data'!D$9/'Source Data'!D$7</f>
        <v>0.628974256521491</v>
      </c>
      <c r="E7" s="16" t="n">
        <f aca="false">'Source Data'!E$9/'Source Data'!E$7</f>
        <v>0.581420625279714</v>
      </c>
      <c r="F7" s="16" t="n">
        <f aca="false">'Source Data'!F$9/'Source Data'!F$7</f>
        <v>0.570240922972514</v>
      </c>
      <c r="G7" s="17" t="n">
        <v>0.58</v>
      </c>
      <c r="H7" s="17" t="n">
        <v>0.6</v>
      </c>
      <c r="I7" s="17" t="n">
        <v>0.61</v>
      </c>
      <c r="J7" s="17" t="n">
        <v>0.615</v>
      </c>
      <c r="K7" s="17" t="n">
        <v>0.62</v>
      </c>
      <c r="M7" s="18" t="s">
        <v>66</v>
      </c>
    </row>
    <row r="8" customFormat="false" ht="32.8" hidden="false" customHeight="false" outlineLevel="0" collapsed="false">
      <c r="A8" s="14" t="s">
        <v>67</v>
      </c>
      <c r="B8" s="16" t="n">
        <f aca="false">'Source Data'!B$10/'Source Data'!B$7</f>
        <v>0.0847143480157</v>
      </c>
      <c r="C8" s="16" t="n">
        <f aca="false">'Source Data'!C$10/'Source Data'!C$7</f>
        <v>0.0833832634311963</v>
      </c>
      <c r="D8" s="16" t="n">
        <f aca="false">'Source Data'!D$10/'Source Data'!D$7</f>
        <v>0.106341686169302</v>
      </c>
      <c r="E8" s="16" t="n">
        <f aca="false">'Source Data'!E$10/'Source Data'!E$7</f>
        <v>0.125247746307781</v>
      </c>
      <c r="F8" s="16" t="n">
        <f aca="false">'Source Data'!F$10/'Source Data'!F$7</f>
        <v>0.117803415903178</v>
      </c>
      <c r="G8" s="17" t="n">
        <v>0.11</v>
      </c>
      <c r="H8" s="17" t="n">
        <v>0.106</v>
      </c>
      <c r="I8" s="17" t="n">
        <v>0.102</v>
      </c>
      <c r="J8" s="17" t="n">
        <v>0.098</v>
      </c>
      <c r="K8" s="17" t="n">
        <v>0.095</v>
      </c>
      <c r="M8" s="18" t="s">
        <v>68</v>
      </c>
    </row>
    <row r="9" customFormat="false" ht="22.35" hidden="false" customHeight="false" outlineLevel="0" collapsed="false">
      <c r="A9" s="14" t="s">
        <v>69</v>
      </c>
      <c r="B9" s="16" t="n">
        <f aca="false">'Source Data'!B$11/'Source Data'!B$7</f>
        <v>0.0908198866114261</v>
      </c>
      <c r="C9" s="16" t="n">
        <f aca="false">'Source Data'!C$11/'Source Data'!C$7</f>
        <v>0.0850808867585381</v>
      </c>
      <c r="D9" s="16" t="n">
        <f aca="false">'Source Data'!D$11/'Source Data'!D$7</f>
        <v>0.104172612592043</v>
      </c>
      <c r="E9" s="16" t="n">
        <f aca="false">'Source Data'!E$11/'Source Data'!E$7</f>
        <v>0.114698548686145</v>
      </c>
      <c r="F9" s="16" t="n">
        <f aca="false">'Source Data'!F$11/'Source Data'!F$7</f>
        <v>0.105191720393621</v>
      </c>
      <c r="G9" s="17" t="n">
        <v>0.1</v>
      </c>
      <c r="H9" s="17" t="n">
        <v>0.096</v>
      </c>
      <c r="I9" s="17" t="n">
        <v>0.092</v>
      </c>
      <c r="J9" s="17" t="n">
        <v>0.09</v>
      </c>
      <c r="K9" s="17" t="n">
        <v>0.088</v>
      </c>
      <c r="M9" s="18" t="s">
        <v>70</v>
      </c>
    </row>
    <row r="10" customFormat="false" ht="43.25" hidden="false" customHeight="false" outlineLevel="0" collapsed="false">
      <c r="A10" s="14" t="s">
        <v>71</v>
      </c>
      <c r="B10" s="16" t="n">
        <f aca="false">('Source Data'!B$9-'Source Data'!B$10-'Source Data'!B$11-'Source Data'!B$12)/'Source Data'!B$7</f>
        <v>0.0106846925425207</v>
      </c>
      <c r="C10" s="16" t="n">
        <f aca="false">('Source Data'!C$9-'Source Data'!C$10-'Source Data'!C$11-'Source Data'!C$12)/'Source Data'!C$7</f>
        <v>0.0128320351507889</v>
      </c>
      <c r="D10" s="16" t="n">
        <f aca="false">('Source Data'!D$9-'Source Data'!D$10-'Source Data'!D$11-'Source Data'!D$12)/'Source Data'!D$7</f>
        <v>0</v>
      </c>
      <c r="E10" s="16" t="n">
        <f aca="false">('Source Data'!E$9-'Source Data'!E$10-'Source Data'!E$11-'Source Data'!E$12)/'Source Data'!E$7</f>
        <v>-0.00792788184898664</v>
      </c>
      <c r="F10" s="16" t="n">
        <f aca="false">('Source Data'!F$9-'Source Data'!F$10-'Source Data'!F$11-'Source Data'!F$12)/'Source Data'!F$7</f>
        <v>0.00661689854088904</v>
      </c>
      <c r="G10" s="17" t="n">
        <v>0</v>
      </c>
      <c r="H10" s="17" t="n">
        <v>0</v>
      </c>
      <c r="I10" s="17" t="n">
        <v>0</v>
      </c>
      <c r="J10" s="17" t="n">
        <v>0</v>
      </c>
      <c r="K10" s="17" t="n">
        <v>0</v>
      </c>
      <c r="M10" s="18" t="s">
        <v>72</v>
      </c>
    </row>
    <row r="11" customFormat="false" ht="53.7" hidden="false" customHeight="false" outlineLevel="0" collapsed="false">
      <c r="A11" s="14" t="s">
        <v>73</v>
      </c>
      <c r="B11" s="16" t="n">
        <f aca="false">'Source Data'!B$15/'Source Data'!B$14</f>
        <v>0.128938221773741</v>
      </c>
      <c r="C11" s="16" t="n">
        <f aca="false">'Source Data'!C$15/'Source Data'!C$14</f>
        <v>0.127890749601276</v>
      </c>
      <c r="D11" s="16" t="n">
        <f aca="false">'Source Data'!D$15/'Source Data'!D$14</f>
        <v>0.122404960905905</v>
      </c>
      <c r="E11" s="16" t="n">
        <f aca="false">'Source Data'!E$15/'Source Data'!E$14</f>
        <v>0.1199339812947</v>
      </c>
      <c r="F11" s="16" t="n">
        <f aca="false">'Source Data'!F$15/'Source Data'!F$14</f>
        <v>0.124168126094571</v>
      </c>
      <c r="G11" s="17" t="n">
        <v>0.14</v>
      </c>
      <c r="H11" s="17" t="n">
        <v>0.14</v>
      </c>
      <c r="I11" s="17" t="n">
        <v>0.14</v>
      </c>
      <c r="J11" s="17" t="n">
        <v>0.14</v>
      </c>
      <c r="K11" s="17" t="n">
        <v>0.14</v>
      </c>
      <c r="M11" s="18" t="s">
        <v>74</v>
      </c>
    </row>
    <row r="12" customFormat="false" ht="15" hidden="false" customHeight="false" outlineLevel="0" collapsed="false">
      <c r="A12" s="12" t="s">
        <v>75</v>
      </c>
      <c r="B12" s="13"/>
      <c r="C12" s="13"/>
      <c r="D12" s="13"/>
      <c r="E12" s="13"/>
      <c r="F12" s="13"/>
      <c r="G12" s="13"/>
      <c r="H12" s="13"/>
      <c r="I12" s="13"/>
      <c r="J12" s="13"/>
      <c r="K12" s="13"/>
      <c r="L12" s="13"/>
      <c r="M12" s="13"/>
    </row>
    <row r="13" customFormat="false" ht="43.25" hidden="false" customHeight="false" outlineLevel="0" collapsed="false">
      <c r="A13" s="14" t="s">
        <v>76</v>
      </c>
      <c r="B13" s="19" t="n">
        <f aca="false">'Source Data'!B$13/AVERAGE('Source Data'!B$32+'Source Data'!B$31,'Source Data'!$B$43+'Source Data'!$B$44)</f>
        <v>0.0253112318591375</v>
      </c>
      <c r="C13" s="19" t="n">
        <f aca="false">'Source Data'!C$13/AVERAGE('Source Data'!C$32+'Source Data'!C$31,'Source Data'!B$32+'Source Data'!B$31)</f>
        <v>0.025977178926924</v>
      </c>
      <c r="D13" s="19" t="n">
        <f aca="false">'Source Data'!D$13/AVERAGE('Source Data'!D$32+'Source Data'!D$31,'Source Data'!C$32+'Source Data'!C$31)</f>
        <v>0.0353742860006013</v>
      </c>
      <c r="E13" s="19" t="n">
        <f aca="false">'Source Data'!E$13/AVERAGE('Source Data'!E$32+'Source Data'!E$31,'Source Data'!D$32+'Source Data'!D$31)</f>
        <v>0.0409363793867602</v>
      </c>
      <c r="F13" s="19" t="n">
        <f aca="false">'Source Data'!F$13/AVERAGE('Source Data'!F$32+'Source Data'!F$31,'Source Data'!E$32+'Source Data'!E$31)</f>
        <v>0.039285197511214</v>
      </c>
      <c r="G13" s="20" t="n">
        <v>0.043</v>
      </c>
      <c r="H13" s="20" t="n">
        <v>0.043</v>
      </c>
      <c r="I13" s="20" t="n">
        <v>0.043</v>
      </c>
      <c r="J13" s="20" t="n">
        <v>0.043</v>
      </c>
      <c r="K13" s="20" t="n">
        <v>0.043</v>
      </c>
      <c r="M13" s="18" t="s">
        <v>77</v>
      </c>
    </row>
    <row r="14" customFormat="false" ht="43.25" hidden="false" customHeight="false" outlineLevel="0" collapsed="false">
      <c r="A14" s="14" t="s">
        <v>78</v>
      </c>
      <c r="B14" s="15" t="s">
        <v>63</v>
      </c>
      <c r="C14" s="21" t="n">
        <f aca="false">'Income Statement'!C$19/('Balance Sheet'!B$6+'Balance Sheet'!B$7)</f>
        <v>0.0105221361921779</v>
      </c>
      <c r="D14" s="21" t="n">
        <f aca="false">'Income Statement'!D$19/('Balance Sheet'!C$6+'Balance Sheet'!C$7)</f>
        <v>0.0469633899028712</v>
      </c>
      <c r="E14" s="21" t="n">
        <f aca="false">'Income Statement'!E$19/('Balance Sheet'!D$6+'Balance Sheet'!D$7)</f>
        <v>0.0531276778063411</v>
      </c>
      <c r="F14" s="21" t="n">
        <f aca="false">'Income Statement'!F$19/('Balance Sheet'!E$6+'Balance Sheet'!E$7)</f>
        <v>0.0261958997722096</v>
      </c>
      <c r="G14" s="20" t="n">
        <v>0.03</v>
      </c>
      <c r="H14" s="20" t="n">
        <v>0.03</v>
      </c>
      <c r="I14" s="20" t="n">
        <v>0.03</v>
      </c>
      <c r="J14" s="20" t="n">
        <v>0.03</v>
      </c>
      <c r="K14" s="20" t="n">
        <v>0.03</v>
      </c>
      <c r="M14" s="18" t="s">
        <v>79</v>
      </c>
    </row>
    <row r="15" customFormat="false" ht="15" hidden="false" customHeight="false" outlineLevel="0" collapsed="false">
      <c r="A15" s="12" t="s">
        <v>80</v>
      </c>
      <c r="B15" s="13"/>
      <c r="C15" s="13"/>
      <c r="D15" s="13"/>
      <c r="E15" s="13"/>
      <c r="F15" s="13"/>
      <c r="G15" s="13"/>
      <c r="H15" s="13"/>
      <c r="I15" s="13"/>
      <c r="J15" s="13"/>
      <c r="K15" s="13"/>
      <c r="L15" s="13"/>
      <c r="M15" s="13"/>
    </row>
    <row r="16" customFormat="false" ht="53.7" hidden="false" customHeight="false" outlineLevel="0" collapsed="false">
      <c r="A16" s="14" t="s">
        <v>81</v>
      </c>
      <c r="B16" s="16" t="n">
        <f aca="false">'Source Data'!B$20/'Source Data'!B$7</f>
        <v>0.134212821631051</v>
      </c>
      <c r="C16" s="16" t="n">
        <f aca="false">'Source Data'!C$20/'Source Data'!C$7</f>
        <v>0.139654483722788</v>
      </c>
      <c r="D16" s="16" t="n">
        <f aca="false">'Source Data'!D$20/'Source Data'!D$7</f>
        <v>0.289457160796849</v>
      </c>
      <c r="E16" s="16" t="n">
        <f aca="false">'Source Data'!E$20/'Source Data'!E$7</f>
        <v>0.308164439613835</v>
      </c>
      <c r="F16" s="16" t="n">
        <f aca="false">'Source Data'!F$20/'Source Data'!F$7</f>
        <v>0.257323832145685</v>
      </c>
      <c r="G16" s="17" t="n">
        <v>0.22</v>
      </c>
      <c r="H16" s="17" t="n">
        <v>0.18</v>
      </c>
      <c r="I16" s="17" t="n">
        <v>0.15</v>
      </c>
      <c r="J16" s="17" t="n">
        <v>0.13</v>
      </c>
      <c r="K16" s="17" t="n">
        <v>0.12</v>
      </c>
      <c r="M16" s="18" t="s">
        <v>82</v>
      </c>
    </row>
    <row r="17" customFormat="false" ht="53.7" hidden="false" customHeight="false" outlineLevel="0" collapsed="false">
      <c r="A17" s="14" t="s">
        <v>83</v>
      </c>
      <c r="B17" s="16" t="n">
        <f aca="false">'Source Data'!B$19/'Source Data'!$B$42</f>
        <v>0.230957479351484</v>
      </c>
      <c r="C17" s="16" t="n">
        <f aca="false">'Source Data'!C$19/'Source Data'!B$27</f>
        <v>0.179926084419374</v>
      </c>
      <c r="D17" s="16" t="n">
        <f aca="false">'Source Data'!D$19/'Source Data'!C$27</f>
        <v>0.170884235020361</v>
      </c>
      <c r="E17" s="16" t="n">
        <f aca="false">'Source Data'!E$19/'Source Data'!D$27</f>
        <v>0.150815081508151</v>
      </c>
      <c r="F17" s="16" t="n">
        <f aca="false">'Source Data'!F$19/'Source Data'!E$27</f>
        <v>0.169031462060457</v>
      </c>
      <c r="G17" s="17" t="n">
        <v>0.16</v>
      </c>
      <c r="H17" s="17" t="n">
        <v>0.16</v>
      </c>
      <c r="I17" s="17" t="n">
        <v>0.16</v>
      </c>
      <c r="J17" s="17" t="n">
        <v>0.16</v>
      </c>
      <c r="K17" s="17" t="n">
        <v>0.16</v>
      </c>
      <c r="M17" s="18" t="s">
        <v>84</v>
      </c>
    </row>
    <row r="18" customFormat="false" ht="15" hidden="false" customHeight="false" outlineLevel="0" collapsed="false">
      <c r="A18" s="14" t="s">
        <v>85</v>
      </c>
      <c r="B18" s="22" t="n">
        <f aca="false">'Source Data'!B$24/'Source Data'!B$7*365</f>
        <v>33.8456716092455</v>
      </c>
      <c r="C18" s="22" t="n">
        <f aca="false">'Source Data'!C$24/'Source Data'!C$7*365</f>
        <v>34.5354004393849</v>
      </c>
      <c r="D18" s="22" t="n">
        <f aca="false">'Source Data'!D$24/'Source Data'!D$7*365</f>
        <v>37.2312917403961</v>
      </c>
      <c r="E18" s="22" t="n">
        <f aca="false">'Source Data'!E$24/'Source Data'!E$7*365</f>
        <v>40.1147624832172</v>
      </c>
      <c r="F18" s="22" t="n">
        <f aca="false">'Source Data'!F$24/'Source Data'!F$7*365</f>
        <v>40.5211514534555</v>
      </c>
      <c r="G18" s="23" t="n">
        <v>40</v>
      </c>
      <c r="H18" s="23" t="n">
        <v>40</v>
      </c>
      <c r="I18" s="23" t="n">
        <v>40</v>
      </c>
      <c r="J18" s="23" t="n">
        <v>40</v>
      </c>
      <c r="K18" s="23" t="n">
        <v>40</v>
      </c>
      <c r="M18" s="18" t="s">
        <v>86</v>
      </c>
    </row>
    <row r="19" customFormat="false" ht="53.7" hidden="false" customHeight="false" outlineLevel="0" collapsed="false">
      <c r="A19" s="14" t="s">
        <v>87</v>
      </c>
      <c r="B19" s="22" t="n">
        <f aca="false">'Source Data'!B$25/'Source Data'!B$8*365</f>
        <v>116.814678284182</v>
      </c>
      <c r="C19" s="22" t="n">
        <f aca="false">'Source Data'!C$25/'Source Data'!C$8*365</f>
        <v>160.828671887486</v>
      </c>
      <c r="D19" s="22" t="n">
        <f aca="false">'Source Data'!D$25/'Source Data'!D$8*365</f>
        <v>224.559230769231</v>
      </c>
      <c r="E19" s="22" t="n">
        <f aca="false">'Source Data'!E$25/'Source Data'!E$8*365</f>
        <v>252.383534443256</v>
      </c>
      <c r="F19" s="22" t="n">
        <f aca="false">'Source Data'!F$25/'Source Data'!F$8*365</f>
        <v>230.74878273457</v>
      </c>
      <c r="G19" s="23" t="n">
        <v>220</v>
      </c>
      <c r="H19" s="23" t="n">
        <v>210</v>
      </c>
      <c r="I19" s="23" t="n">
        <v>200</v>
      </c>
      <c r="J19" s="23" t="n">
        <v>195</v>
      </c>
      <c r="K19" s="23" t="n">
        <v>190</v>
      </c>
      <c r="M19" s="18" t="s">
        <v>88</v>
      </c>
    </row>
    <row r="20" customFormat="false" ht="15" hidden="false" customHeight="false" outlineLevel="0" collapsed="false">
      <c r="A20" s="14" t="s">
        <v>89</v>
      </c>
      <c r="B20" s="22" t="n">
        <f aca="false">'Source Data'!B$29/'Source Data'!B$8*365</f>
        <v>34.9220844504021</v>
      </c>
      <c r="C20" s="22" t="n">
        <f aca="false">'Source Data'!C$29/'Source Data'!C$8*365</f>
        <v>49.6428000639284</v>
      </c>
      <c r="D20" s="22" t="n">
        <f aca="false">'Source Data'!D$29/'Source Data'!D$8*365</f>
        <v>45.0353846153846</v>
      </c>
      <c r="E20" s="22" t="n">
        <f aca="false">'Source Data'!E$29/'Source Data'!E$8*365</f>
        <v>45.7155949289751</v>
      </c>
      <c r="F20" s="22" t="n">
        <f aca="false">'Source Data'!F$29/'Source Data'!F$8*365</f>
        <v>36.3126727200947</v>
      </c>
      <c r="G20" s="23" t="n">
        <v>38</v>
      </c>
      <c r="H20" s="23" t="n">
        <v>38</v>
      </c>
      <c r="I20" s="23" t="n">
        <v>38</v>
      </c>
      <c r="J20" s="23" t="n">
        <v>38</v>
      </c>
      <c r="K20" s="23" t="n">
        <v>38</v>
      </c>
      <c r="M20" s="18" t="s">
        <v>90</v>
      </c>
    </row>
    <row r="21" customFormat="false" ht="15" hidden="false" customHeight="false" outlineLevel="0" collapsed="false">
      <c r="A21" s="12" t="s">
        <v>91</v>
      </c>
      <c r="B21" s="13"/>
      <c r="C21" s="13"/>
      <c r="D21" s="13"/>
      <c r="E21" s="13"/>
      <c r="F21" s="13"/>
      <c r="G21" s="13"/>
      <c r="H21" s="13"/>
      <c r="I21" s="13"/>
      <c r="J21" s="13"/>
      <c r="K21" s="13"/>
      <c r="L21" s="13"/>
      <c r="M21" s="13"/>
    </row>
    <row r="22" customFormat="false" ht="53.7" hidden="false" customHeight="false" outlineLevel="0" collapsed="false">
      <c r="A22" s="14" t="s">
        <v>92</v>
      </c>
      <c r="B22" s="24" t="n">
        <f aca="false">'Cash Flow'!B$8/'Income Statement'!B$6</f>
        <v>0.0173353685128652</v>
      </c>
      <c r="C22" s="24" t="n">
        <f aca="false">'Cash Flow'!C$8/'Income Statement'!C$6</f>
        <v>-0.00963650888755742</v>
      </c>
      <c r="D22" s="24" t="n">
        <f aca="false">'Cash Flow'!D$8/'Income Statement'!D$6</f>
        <v>-0.00468063245619042</v>
      </c>
      <c r="E22" s="24" t="n">
        <f aca="false">'Cash Flow'!E$8/'Income Statement'!E$6</f>
        <v>0.0289623425612173</v>
      </c>
      <c r="F22" s="24" t="n">
        <f aca="false">'Cash Flow'!F$8/'Income Statement'!F$6</f>
        <v>0.0463182897862233</v>
      </c>
      <c r="G22" s="17" t="n">
        <v>0.02</v>
      </c>
      <c r="H22" s="17" t="n">
        <v>0.02</v>
      </c>
      <c r="I22" s="17" t="n">
        <v>0.02</v>
      </c>
      <c r="J22" s="17" t="n">
        <v>0.02</v>
      </c>
      <c r="K22" s="17" t="n">
        <v>0.02</v>
      </c>
      <c r="M22" s="18" t="s">
        <v>93</v>
      </c>
    </row>
    <row r="23" customFormat="false" ht="43.25" hidden="false" customHeight="false" outlineLevel="0" collapsed="false">
      <c r="A23" s="14" t="s">
        <v>94</v>
      </c>
      <c r="B23" s="25" t="n">
        <f aca="false">'Source Data'!B$32</f>
        <v>7241</v>
      </c>
      <c r="C23" s="25" t="n">
        <f aca="false">'Source Data'!C$32</f>
        <v>8235</v>
      </c>
      <c r="D23" s="25" t="n">
        <f aca="false">'Source Data'!D$32</f>
        <v>10624</v>
      </c>
      <c r="E23" s="25" t="n">
        <f aca="false">'Source Data'!E$32</f>
        <v>12846</v>
      </c>
      <c r="F23" s="25" t="n">
        <f aca="false">'Source Data'!F$32</f>
        <v>13548</v>
      </c>
      <c r="G23" s="26" t="n">
        <v>13548</v>
      </c>
      <c r="H23" s="26" t="n">
        <v>13548</v>
      </c>
      <c r="I23" s="26" t="n">
        <v>13548</v>
      </c>
      <c r="J23" s="26" t="n">
        <v>13548</v>
      </c>
      <c r="K23" s="26" t="n">
        <v>13548</v>
      </c>
      <c r="M23" s="18" t="s">
        <v>95</v>
      </c>
    </row>
    <row r="24" customFormat="false" ht="15" hidden="false" customHeight="false" outlineLevel="0" collapsed="false">
      <c r="A24" s="14" t="s">
        <v>96</v>
      </c>
      <c r="B24" s="25" t="n">
        <f aca="false">'Source Data'!B$31</f>
        <v>500</v>
      </c>
      <c r="C24" s="25" t="n">
        <f aca="false">'Source Data'!C$31</f>
        <v>500</v>
      </c>
      <c r="D24" s="25" t="n">
        <f aca="false">'Source Data'!D$31</f>
        <v>599</v>
      </c>
      <c r="E24" s="25" t="n">
        <f aca="false">'Source Data'!E$31</f>
        <v>750</v>
      </c>
      <c r="F24" s="25" t="n">
        <f aca="false">'Source Data'!F$31</f>
        <v>500</v>
      </c>
      <c r="G24" s="26" t="n">
        <v>500</v>
      </c>
      <c r="H24" s="26" t="n">
        <v>500</v>
      </c>
      <c r="I24" s="26" t="n">
        <v>500</v>
      </c>
      <c r="J24" s="26" t="n">
        <v>500</v>
      </c>
      <c r="K24" s="26" t="n">
        <v>500</v>
      </c>
    </row>
    <row r="25" customFormat="false" ht="85.05" hidden="false" customHeight="false" outlineLevel="0" collapsed="false">
      <c r="A25" s="14" t="s">
        <v>97</v>
      </c>
      <c r="B25" s="25" t="n">
        <f aca="false">'Income Statement'!B$23+'Cash Flow'!B$8-('Balance Sheet'!B$22-'Source Data'!$B$45)</f>
        <v>3941</v>
      </c>
      <c r="C25" s="25" t="n">
        <f aca="false">'Income Statement'!C$23+'Cash Flow'!C$8-('Balance Sheet'!C$22-'Balance Sheet'!B$22)</f>
        <v>7312</v>
      </c>
      <c r="D25" s="25" t="n">
        <f aca="false">'Income Statement'!D$23+'Cash Flow'!D$8-('Balance Sheet'!D$22-'Balance Sheet'!C$22)</f>
        <v>4108</v>
      </c>
      <c r="E25" s="25" t="n">
        <f aca="false">'Income Statement'!E$23+'Cash Flow'!E$8-('Balance Sheet'!E$22-'Balance Sheet'!D$22)</f>
        <v>5246</v>
      </c>
      <c r="F25" s="25" t="n">
        <f aca="false">'Income Statement'!F$23+'Cash Flow'!F$8-('Balance Sheet'!F$22-'Balance Sheet'!E$22)</f>
        <v>6450</v>
      </c>
      <c r="G25" s="26" t="n">
        <v>5900</v>
      </c>
      <c r="H25" s="27" t="n">
        <f aca="false">G25*(1+$H$26)</f>
        <v>6136</v>
      </c>
      <c r="I25" s="27" t="n">
        <f aca="false">H25*(1+I$26)</f>
        <v>6381.44</v>
      </c>
      <c r="J25" s="27" t="n">
        <f aca="false">I25*(1+J$26)</f>
        <v>6636.6976</v>
      </c>
      <c r="K25" s="27" t="n">
        <f aca="false">J25*(1+K$26)</f>
        <v>6902.165504</v>
      </c>
      <c r="M25" s="18" t="s">
        <v>98</v>
      </c>
    </row>
    <row r="26" customFormat="false" ht="22.35" hidden="false" customHeight="false" outlineLevel="0" collapsed="false">
      <c r="A26" s="14" t="s">
        <v>99</v>
      </c>
      <c r="B26" s="15" t="s">
        <v>63</v>
      </c>
      <c r="C26" s="15" t="s">
        <v>63</v>
      </c>
      <c r="D26" s="15" t="s">
        <v>63</v>
      </c>
      <c r="E26" s="15" t="s">
        <v>63</v>
      </c>
      <c r="F26" s="15" t="s">
        <v>63</v>
      </c>
      <c r="G26" s="28" t="s">
        <v>63</v>
      </c>
      <c r="H26" s="17" t="n">
        <v>0.04</v>
      </c>
      <c r="I26" s="17" t="n">
        <v>0.04</v>
      </c>
      <c r="J26" s="17" t="n">
        <v>0.04</v>
      </c>
      <c r="K26" s="17" t="n">
        <v>0.04</v>
      </c>
      <c r="M26" s="18" t="s">
        <v>100</v>
      </c>
    </row>
    <row r="27" customFormat="false" ht="43.25" hidden="false" customHeight="false" outlineLevel="0" collapsed="false">
      <c r="A27" s="14" t="s">
        <v>101</v>
      </c>
      <c r="B27" s="15" t="s">
        <v>63</v>
      </c>
      <c r="C27" s="16" t="n">
        <f aca="false">'Source Data'!C$17/'Source Data'!B$17-1</f>
        <v>-0.0106837606837606</v>
      </c>
      <c r="D27" s="16" t="n">
        <f aca="false">'Source Data'!D$17/'Source Data'!C$17-1</f>
        <v>-0.0107991360691144</v>
      </c>
      <c r="E27" s="16" t="n">
        <f aca="false">'Source Data'!E$17/'Source Data'!D$17-1</f>
        <v>0.0032751091703056</v>
      </c>
      <c r="F27" s="16" t="n">
        <f aca="false">'Source Data'!F$17/'Source Data'!E$17-1</f>
        <v>-0.0065288356909684</v>
      </c>
      <c r="G27" s="17" t="n">
        <v>-0.005</v>
      </c>
      <c r="H27" s="17" t="n">
        <v>-0.005</v>
      </c>
      <c r="I27" s="17" t="n">
        <v>-0.005</v>
      </c>
      <c r="J27" s="17" t="n">
        <v>-0.005</v>
      </c>
      <c r="K27" s="17" t="n">
        <v>-0.005</v>
      </c>
      <c r="M27" s="18" t="s">
        <v>102</v>
      </c>
    </row>
    <row r="28" customFormat="false" ht="15" hidden="false" customHeight="false" outlineLevel="0" collapsed="false">
      <c r="A28" s="12" t="s">
        <v>103</v>
      </c>
      <c r="B28" s="13"/>
      <c r="C28" s="13"/>
      <c r="D28" s="13"/>
      <c r="E28" s="13"/>
      <c r="F28" s="13"/>
      <c r="G28" s="13"/>
      <c r="H28" s="13"/>
      <c r="I28" s="13"/>
      <c r="J28" s="13"/>
      <c r="K28" s="13"/>
      <c r="L28" s="13"/>
      <c r="M28" s="13"/>
    </row>
    <row r="29" customFormat="false" ht="74.6" hidden="false" customHeight="false" outlineLevel="0" collapsed="false">
      <c r="A29" s="14" t="s">
        <v>104</v>
      </c>
      <c r="B29" s="25" t="n">
        <f aca="false">'Source Data'!B$26-'Source Data'!B$23-'Source Data'!B$24-'Source Data'!B$25</f>
        <v>5443</v>
      </c>
      <c r="C29" s="25" t="n">
        <f aca="false">'Source Data'!C$26-'Source Data'!C$23-'Source Data'!C$24-'Source Data'!C$25</f>
        <v>6319</v>
      </c>
      <c r="D29" s="25" t="n">
        <f aca="false">'Source Data'!D$26-'Source Data'!D$23-'Source Data'!D$24-'Source Data'!D$25</f>
        <v>6372</v>
      </c>
      <c r="E29" s="25" t="n">
        <f aca="false">'Source Data'!E$26-'Source Data'!E$23-'Source Data'!E$24-'Source Data'!E$25</f>
        <v>5580</v>
      </c>
      <c r="F29" s="25" t="n">
        <f aca="false">'Source Data'!F$26-'Source Data'!F$23-'Source Data'!F$24-'Source Data'!F$25</f>
        <v>3758</v>
      </c>
      <c r="G29" s="26" t="n">
        <v>3758</v>
      </c>
      <c r="H29" s="26" t="n">
        <v>3758</v>
      </c>
      <c r="I29" s="26" t="n">
        <v>3758</v>
      </c>
      <c r="J29" s="26" t="n">
        <v>3758</v>
      </c>
      <c r="K29" s="26" t="n">
        <v>3758</v>
      </c>
      <c r="M29" s="18" t="s">
        <v>105</v>
      </c>
    </row>
    <row r="30" customFormat="false" ht="15" hidden="false" customHeight="false" outlineLevel="0" collapsed="false">
      <c r="A30" s="14" t="s">
        <v>106</v>
      </c>
      <c r="B30" s="25" t="n">
        <f aca="false">'Source Data'!B$28-'Source Data'!B$26-'Source Data'!B$27</f>
        <v>5850</v>
      </c>
      <c r="C30" s="25" t="n">
        <f aca="false">'Source Data'!C$28-'Source Data'!C$26-'Source Data'!C$27</f>
        <v>6310</v>
      </c>
      <c r="D30" s="25" t="n">
        <f aca="false">'Source Data'!D$28-'Source Data'!D$26-'Source Data'!D$27</f>
        <v>7227</v>
      </c>
      <c r="E30" s="25" t="n">
        <f aca="false">'Source Data'!E$28-'Source Data'!E$26-'Source Data'!E$27</f>
        <v>9136</v>
      </c>
      <c r="F30" s="25" t="n">
        <f aca="false">'Source Data'!F$28-'Source Data'!F$26-'Source Data'!F$27</f>
        <v>8515</v>
      </c>
      <c r="G30" s="26" t="n">
        <v>8515</v>
      </c>
      <c r="H30" s="26" t="n">
        <v>8515</v>
      </c>
      <c r="I30" s="26" t="n">
        <v>8515</v>
      </c>
      <c r="J30" s="26" t="n">
        <v>8515</v>
      </c>
      <c r="K30" s="26" t="n">
        <v>8515</v>
      </c>
    </row>
    <row r="31" customFormat="false" ht="15" hidden="false" customHeight="false" outlineLevel="0" collapsed="false">
      <c r="A31" s="14" t="s">
        <v>107</v>
      </c>
      <c r="B31" s="25" t="n">
        <f aca="false">'Source Data'!B$30-'Source Data'!B$29-'Source Data'!B$31</f>
        <v>1498</v>
      </c>
      <c r="C31" s="25" t="n">
        <f aca="false">'Source Data'!C$30-'Source Data'!C$29-'Source Data'!C$31</f>
        <v>1634</v>
      </c>
      <c r="D31" s="25" t="n">
        <f aca="false">'Source Data'!D$30-'Source Data'!D$29-'Source Data'!D$31</f>
        <v>1919</v>
      </c>
      <c r="E31" s="25" t="n">
        <f aca="false">'Source Data'!E$30-'Source Data'!E$29-'Source Data'!E$31</f>
        <v>2073</v>
      </c>
      <c r="F31" s="25" t="n">
        <f aca="false">'Source Data'!F$30-'Source Data'!F$29-'Source Data'!F$31</f>
        <v>1903</v>
      </c>
      <c r="G31" s="26" t="n">
        <v>1903</v>
      </c>
      <c r="H31" s="26" t="n">
        <v>1903</v>
      </c>
      <c r="I31" s="26" t="n">
        <v>1903</v>
      </c>
      <c r="J31" s="26" t="n">
        <v>1903</v>
      </c>
      <c r="K31" s="26" t="n">
        <v>1903</v>
      </c>
    </row>
    <row r="32" customFormat="false" ht="15" hidden="false" customHeight="false" outlineLevel="0" collapsed="false">
      <c r="A32" s="14" t="s">
        <v>108</v>
      </c>
      <c r="B32" s="25" t="n">
        <f aca="false">'Source Data'!B$33-'Source Data'!B$30-'Source Data'!B$32</f>
        <v>1533</v>
      </c>
      <c r="C32" s="25" t="n">
        <f aca="false">'Source Data'!C$33-'Source Data'!C$30-'Source Data'!C$32</f>
        <v>1410</v>
      </c>
      <c r="D32" s="25" t="n">
        <f aca="false">'Source Data'!D$33-'Source Data'!D$30-'Source Data'!D$32</f>
        <v>1507</v>
      </c>
      <c r="E32" s="25" t="n">
        <f aca="false">'Source Data'!E$33-'Source Data'!E$30-'Source Data'!E$32</f>
        <v>2117</v>
      </c>
      <c r="F32" s="25" t="n">
        <f aca="false">'Source Data'!F$33-'Source Data'!F$30-'Source Data'!F$32</f>
        <v>1605</v>
      </c>
      <c r="G32" s="26" t="n">
        <v>1605</v>
      </c>
      <c r="H32" s="26" t="n">
        <v>1605</v>
      </c>
      <c r="I32" s="26" t="n">
        <v>1605</v>
      </c>
      <c r="J32" s="26" t="n">
        <v>1605</v>
      </c>
      <c r="K32" s="26" t="n">
        <v>1605</v>
      </c>
    </row>
    <row r="34" customFormat="false" ht="15" hidden="false" customHeight="false" outlineLevel="0" collapsed="false">
      <c r="A34" s="12" t="s">
        <v>109</v>
      </c>
      <c r="B34" s="13"/>
      <c r="C34" s="13"/>
      <c r="D34" s="13"/>
      <c r="E34" s="13"/>
      <c r="F34" s="13"/>
      <c r="G34" s="13"/>
      <c r="H34" s="13"/>
      <c r="I34" s="13"/>
      <c r="J34" s="13"/>
      <c r="K34" s="13"/>
      <c r="L34" s="13"/>
      <c r="M34" s="13"/>
    </row>
    <row r="35" customFormat="false" ht="22.35" hidden="false" customHeight="false" outlineLevel="0" collapsed="false">
      <c r="A35" s="14" t="s">
        <v>110</v>
      </c>
      <c r="B35" s="26" t="n">
        <v>1000</v>
      </c>
      <c r="M35" s="18"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2.5"/>
    <col collapsed="false" customWidth="true" hidden="false" outlineLevel="0" max="12" min="12" style="1" width="4"/>
    <col collapsed="false" customWidth="true" hidden="false" outlineLevel="0" max="15" min="13" style="1" width="30"/>
  </cols>
  <sheetData>
    <row r="1" customFormat="false" ht="17.35" hidden="false" customHeight="false" outlineLevel="0" collapsed="false">
      <c r="A1" s="7" t="s">
        <v>112</v>
      </c>
    </row>
    <row r="2" customFormat="false" ht="15" hidden="false" customHeight="false" outlineLevel="0" collapsed="false">
      <c r="A2" s="8" t="s">
        <v>113</v>
      </c>
    </row>
    <row r="4" customFormat="false" ht="15" hidden="false" customHeight="false" outlineLevel="0" collapsed="false">
      <c r="A4" s="9" t="s">
        <v>49</v>
      </c>
      <c r="B4" s="10" t="s">
        <v>50</v>
      </c>
      <c r="C4" s="10" t="s">
        <v>51</v>
      </c>
      <c r="D4" s="10" t="s">
        <v>52</v>
      </c>
      <c r="E4" s="10" t="s">
        <v>53</v>
      </c>
      <c r="F4" s="10" t="s">
        <v>54</v>
      </c>
      <c r="G4" s="10" t="s">
        <v>55</v>
      </c>
      <c r="H4" s="10" t="s">
        <v>56</v>
      </c>
      <c r="I4" s="10" t="s">
        <v>57</v>
      </c>
      <c r="J4" s="10" t="s">
        <v>58</v>
      </c>
      <c r="K4" s="10" t="s">
        <v>59</v>
      </c>
      <c r="L4" s="11"/>
      <c r="M4" s="9" t="s">
        <v>60</v>
      </c>
    </row>
    <row r="5" customFormat="false" ht="15" hidden="false" customHeight="false" outlineLevel="0" collapsed="false">
      <c r="A5" s="12" t="s">
        <v>114</v>
      </c>
      <c r="B5" s="13"/>
      <c r="C5" s="13"/>
      <c r="D5" s="13"/>
      <c r="E5" s="13"/>
      <c r="F5" s="13"/>
      <c r="G5" s="13"/>
      <c r="H5" s="13"/>
      <c r="I5" s="13"/>
      <c r="J5" s="13"/>
      <c r="K5" s="13"/>
      <c r="L5" s="13"/>
      <c r="M5" s="13"/>
    </row>
    <row r="6" customFormat="false" ht="15" hidden="false" customHeight="false" outlineLevel="0" collapsed="false">
      <c r="A6" s="14" t="s">
        <v>115</v>
      </c>
      <c r="B6" s="25" t="n">
        <f aca="false">'Source Data'!B$7</f>
        <v>18344</v>
      </c>
      <c r="C6" s="25" t="n">
        <f aca="false">'Source Data'!C$7</f>
        <v>20028</v>
      </c>
      <c r="D6" s="25" t="n">
        <f aca="false">'Source Data'!D$7</f>
        <v>17519</v>
      </c>
      <c r="E6" s="25" t="n">
        <f aca="false">'Source Data'!E$7</f>
        <v>15641</v>
      </c>
      <c r="F6" s="25" t="n">
        <f aca="false">'Source Data'!F$7</f>
        <v>17682</v>
      </c>
      <c r="G6" s="29" t="n">
        <f aca="false">F6*(1+Assumptions!G$6)</f>
        <v>19450.2</v>
      </c>
      <c r="H6" s="29" t="n">
        <f aca="false">G6*(1+Assumptions!H$6)</f>
        <v>21006.216</v>
      </c>
      <c r="I6" s="29" t="n">
        <f aca="false">H6*(1+Assumptions!I$6)</f>
        <v>22476.65112</v>
      </c>
      <c r="J6" s="29" t="n">
        <f aca="false">I6*(1+Assumptions!J$6)</f>
        <v>23825.2501872</v>
      </c>
      <c r="K6" s="29" t="n">
        <f aca="false">J6*(1+Assumptions!K$6)</f>
        <v>25016.51269656</v>
      </c>
    </row>
    <row r="7" customFormat="false" ht="15" hidden="false" customHeight="false" outlineLevel="0" collapsed="false">
      <c r="A7" s="14" t="s">
        <v>116</v>
      </c>
      <c r="B7" s="15" t="s">
        <v>63</v>
      </c>
      <c r="C7" s="30" t="n">
        <f aca="false">C6/B6-1</f>
        <v>0.0918011338857392</v>
      </c>
      <c r="D7" s="30" t="n">
        <f aca="false">D6/C6-1</f>
        <v>-0.125274615538246</v>
      </c>
      <c r="E7" s="30" t="n">
        <f aca="false">E6/D6-1</f>
        <v>-0.107197899423483</v>
      </c>
      <c r="F7" s="30" t="n">
        <f aca="false">F6/E6-1</f>
        <v>0.130490377853078</v>
      </c>
      <c r="G7" s="30" t="n">
        <f aca="false">G6/F6-1</f>
        <v>0.1</v>
      </c>
      <c r="H7" s="30" t="n">
        <f aca="false">H6/G6-1</f>
        <v>0.0800000000000001</v>
      </c>
      <c r="I7" s="30" t="n">
        <f aca="false">I6/H6-1</f>
        <v>0.0700000000000001</v>
      </c>
      <c r="J7" s="30" t="n">
        <f aca="false">J6/I6-1</f>
        <v>0.0600000000000001</v>
      </c>
      <c r="K7" s="30" t="n">
        <f aca="false">K6/J6-1</f>
        <v>0.05</v>
      </c>
    </row>
    <row r="8" customFormat="false" ht="15" hidden="false" customHeight="false" outlineLevel="0" collapsed="false">
      <c r="A8" s="14" t="s">
        <v>117</v>
      </c>
      <c r="B8" s="25" t="n">
        <f aca="false">'Source Data'!B$8</f>
        <v>5968</v>
      </c>
      <c r="C8" s="25" t="n">
        <f aca="false">'Source Data'!C$8</f>
        <v>6257</v>
      </c>
      <c r="D8" s="25" t="n">
        <f aca="false">'Source Data'!D$8</f>
        <v>6500</v>
      </c>
      <c r="E8" s="25" t="n">
        <f aca="false">'Source Data'!E$8</f>
        <v>6547</v>
      </c>
      <c r="F8" s="25" t="n">
        <f aca="false">'Source Data'!F$8</f>
        <v>7599</v>
      </c>
      <c r="G8" s="29" t="n">
        <f aca="false">G6*(1-Assumptions!G$7)</f>
        <v>8169.084</v>
      </c>
      <c r="H8" s="29" t="n">
        <f aca="false">H6*(1-Assumptions!H$7)</f>
        <v>8402.4864</v>
      </c>
      <c r="I8" s="29" t="n">
        <f aca="false">I6*(1-Assumptions!I$7)</f>
        <v>8765.8939368</v>
      </c>
      <c r="J8" s="29" t="n">
        <f aca="false">J6*(1-Assumptions!J$7)</f>
        <v>9172.721322072</v>
      </c>
      <c r="K8" s="29" t="n">
        <f aca="false">K6*(1-Assumptions!K$7)</f>
        <v>9506.2748246928</v>
      </c>
    </row>
    <row r="9" customFormat="false" ht="15" hidden="false" customHeight="false" outlineLevel="0" collapsed="false">
      <c r="A9" s="5" t="s">
        <v>118</v>
      </c>
      <c r="B9" s="31" t="n">
        <f aca="false">B6-B8</f>
        <v>12376</v>
      </c>
      <c r="C9" s="31" t="n">
        <f aca="false">C6-C8</f>
        <v>13771</v>
      </c>
      <c r="D9" s="31" t="n">
        <f aca="false">D6-D8</f>
        <v>11019</v>
      </c>
      <c r="E9" s="31" t="n">
        <f aca="false">E6-E8</f>
        <v>9094</v>
      </c>
      <c r="F9" s="31" t="n">
        <f aca="false">F6-F8</f>
        <v>10083</v>
      </c>
      <c r="G9" s="31" t="n">
        <f aca="false">G6-G8</f>
        <v>11281.116</v>
      </c>
      <c r="H9" s="31" t="n">
        <f aca="false">H6-H8</f>
        <v>12603.7296</v>
      </c>
      <c r="I9" s="31" t="n">
        <f aca="false">I6-I8</f>
        <v>13710.7571832</v>
      </c>
      <c r="J9" s="31" t="n">
        <f aca="false">J6-J8</f>
        <v>14652.528865128</v>
      </c>
      <c r="K9" s="31" t="n">
        <f aca="false">K6-K8</f>
        <v>15510.2378718672</v>
      </c>
    </row>
    <row r="10" customFormat="false" ht="15" hidden="false" customHeight="false" outlineLevel="0" collapsed="false">
      <c r="A10" s="14" t="s">
        <v>119</v>
      </c>
      <c r="B10" s="30" t="n">
        <f aca="false">B9/B6</f>
        <v>0.674662014827737</v>
      </c>
      <c r="C10" s="30" t="n">
        <f aca="false">C9/C6</f>
        <v>0.68758737767126</v>
      </c>
      <c r="D10" s="30" t="n">
        <f aca="false">D9/D6</f>
        <v>0.628974256521491</v>
      </c>
      <c r="E10" s="30" t="n">
        <f aca="false">E9/E6</f>
        <v>0.581420625279714</v>
      </c>
      <c r="F10" s="30" t="n">
        <f aca="false">F9/F6</f>
        <v>0.570240922972514</v>
      </c>
      <c r="G10" s="30" t="n">
        <f aca="false">G9/G6</f>
        <v>0.58</v>
      </c>
      <c r="H10" s="30" t="n">
        <f aca="false">H9/H6</f>
        <v>0.6</v>
      </c>
      <c r="I10" s="30" t="n">
        <f aca="false">I9/I6</f>
        <v>0.61</v>
      </c>
      <c r="J10" s="30" t="n">
        <f aca="false">J9/J6</f>
        <v>0.615</v>
      </c>
      <c r="K10" s="30" t="n">
        <f aca="false">K9/K6</f>
        <v>0.62</v>
      </c>
    </row>
    <row r="11" customFormat="false" ht="15" hidden="false" customHeight="false" outlineLevel="0" collapsed="false">
      <c r="A11" s="12" t="s">
        <v>120</v>
      </c>
      <c r="B11" s="13"/>
      <c r="C11" s="13"/>
      <c r="D11" s="13"/>
      <c r="E11" s="13"/>
      <c r="F11" s="13"/>
      <c r="G11" s="13"/>
      <c r="H11" s="13"/>
      <c r="I11" s="13"/>
      <c r="J11" s="13"/>
      <c r="K11" s="13"/>
      <c r="L11" s="13"/>
      <c r="M11" s="13"/>
    </row>
    <row r="12" customFormat="false" ht="15" hidden="false" customHeight="false" outlineLevel="0" collapsed="false">
      <c r="A12" s="14" t="s">
        <v>121</v>
      </c>
      <c r="B12" s="25" t="n">
        <f aca="false">'Source Data'!B$10</f>
        <v>1554</v>
      </c>
      <c r="C12" s="25" t="n">
        <f aca="false">'Source Data'!C$10</f>
        <v>1670</v>
      </c>
      <c r="D12" s="25" t="n">
        <f aca="false">'Source Data'!D$10</f>
        <v>1863</v>
      </c>
      <c r="E12" s="25" t="n">
        <f aca="false">'Source Data'!E$10</f>
        <v>1959</v>
      </c>
      <c r="F12" s="25" t="n">
        <f aca="false">'Source Data'!F$10</f>
        <v>2083</v>
      </c>
      <c r="G12" s="29" t="n">
        <f aca="false">G6*Assumptions!G$8</f>
        <v>2139.522</v>
      </c>
      <c r="H12" s="29" t="n">
        <f aca="false">H6*Assumptions!H$8</f>
        <v>2226.658896</v>
      </c>
      <c r="I12" s="29" t="n">
        <f aca="false">I6*Assumptions!I$8</f>
        <v>2292.61841424</v>
      </c>
      <c r="J12" s="29" t="n">
        <f aca="false">J6*Assumptions!J$8</f>
        <v>2334.8745183456</v>
      </c>
      <c r="K12" s="29" t="n">
        <f aca="false">K6*Assumptions!K$8</f>
        <v>2376.5687061732</v>
      </c>
    </row>
    <row r="13" customFormat="false" ht="15" hidden="false" customHeight="false" outlineLevel="0" collapsed="false">
      <c r="A13" s="14" t="s">
        <v>122</v>
      </c>
      <c r="B13" s="25" t="n">
        <f aca="false">'Source Data'!B$11</f>
        <v>1666</v>
      </c>
      <c r="C13" s="25" t="n">
        <f aca="false">'Source Data'!C$11</f>
        <v>1704</v>
      </c>
      <c r="D13" s="25" t="n">
        <f aca="false">'Source Data'!D$11</f>
        <v>1825</v>
      </c>
      <c r="E13" s="25" t="n">
        <f aca="false">'Source Data'!E$11</f>
        <v>1794</v>
      </c>
      <c r="F13" s="25" t="n">
        <f aca="false">'Source Data'!F$11</f>
        <v>1860</v>
      </c>
      <c r="G13" s="29" t="n">
        <f aca="false">G6*Assumptions!G$9</f>
        <v>1945.02</v>
      </c>
      <c r="H13" s="29" t="n">
        <f aca="false">H6*Assumptions!H$9</f>
        <v>2016.596736</v>
      </c>
      <c r="I13" s="29" t="n">
        <f aca="false">I6*Assumptions!I$9</f>
        <v>2067.85190304</v>
      </c>
      <c r="J13" s="29" t="n">
        <f aca="false">J6*Assumptions!J$9</f>
        <v>2144.272516848</v>
      </c>
      <c r="K13" s="29" t="n">
        <f aca="false">K6*Assumptions!K$9</f>
        <v>2201.45311729728</v>
      </c>
    </row>
    <row r="14" customFormat="false" ht="53.7" hidden="false" customHeight="false" outlineLevel="0" collapsed="false">
      <c r="A14" s="14" t="s">
        <v>123</v>
      </c>
      <c r="B14" s="25" t="n">
        <f aca="false">B9-B12-B13-'Source Data'!B$12</f>
        <v>196</v>
      </c>
      <c r="C14" s="25" t="n">
        <f aca="false">C9-C12-C13-'Source Data'!C$12</f>
        <v>257</v>
      </c>
      <c r="D14" s="25" t="n">
        <f aca="false">D9-D12-D13-'Source Data'!D$12</f>
        <v>0</v>
      </c>
      <c r="E14" s="25" t="n">
        <f aca="false">E9-E12-E13-'Source Data'!E$12</f>
        <v>-124</v>
      </c>
      <c r="F14" s="25" t="n">
        <f aca="false">F9-F12-F13-'Source Data'!F$12</f>
        <v>117</v>
      </c>
      <c r="G14" s="29" t="n">
        <f aca="false">G6*Assumptions!G$10</f>
        <v>0</v>
      </c>
      <c r="H14" s="29" t="n">
        <f aca="false">H6*Assumptions!H$10</f>
        <v>0</v>
      </c>
      <c r="I14" s="29" t="n">
        <f aca="false">I6*Assumptions!I$10</f>
        <v>0</v>
      </c>
      <c r="J14" s="29" t="n">
        <f aca="false">J6*Assumptions!J$10</f>
        <v>0</v>
      </c>
      <c r="K14" s="29" t="n">
        <f aca="false">K6*Assumptions!K$10</f>
        <v>0</v>
      </c>
      <c r="M14" s="18" t="s">
        <v>124</v>
      </c>
    </row>
    <row r="15" customFormat="false" ht="15" hidden="false" customHeight="false" outlineLevel="0" collapsed="false">
      <c r="A15" s="5" t="s">
        <v>125</v>
      </c>
      <c r="B15" s="31" t="n">
        <f aca="false">B9-B12-B13-B14</f>
        <v>8960</v>
      </c>
      <c r="C15" s="31" t="n">
        <f aca="false">C9-C12-C13-C14</f>
        <v>10140</v>
      </c>
      <c r="D15" s="31" t="n">
        <f aca="false">D9-D12-D13-D14</f>
        <v>7331</v>
      </c>
      <c r="E15" s="31" t="n">
        <f aca="false">E9-E12-E13-E14</f>
        <v>5465</v>
      </c>
      <c r="F15" s="31" t="n">
        <f aca="false">F9-F12-F13-F14</f>
        <v>6023</v>
      </c>
      <c r="G15" s="31" t="n">
        <f aca="false">G9-G12-G13-G14</f>
        <v>7196.574</v>
      </c>
      <c r="H15" s="31" t="n">
        <f aca="false">H9-H12-H13-H14</f>
        <v>8360.473968</v>
      </c>
      <c r="I15" s="31" t="n">
        <f aca="false">I9-I12-I13-I14</f>
        <v>9350.28686592</v>
      </c>
      <c r="J15" s="31" t="n">
        <f aca="false">J9-J12-J13-J14</f>
        <v>10173.3818299344</v>
      </c>
      <c r="K15" s="31" t="n">
        <f aca="false">K9-K12-K13-K14</f>
        <v>10932.2160483967</v>
      </c>
    </row>
    <row r="16" customFormat="false" ht="15" hidden="false" customHeight="false" outlineLevel="0" collapsed="false">
      <c r="A16" s="14" t="s">
        <v>126</v>
      </c>
      <c r="B16" s="30" t="n">
        <f aca="false">B15/B6</f>
        <v>0.48844308765809</v>
      </c>
      <c r="C16" s="30" t="n">
        <f aca="false">C15/C6</f>
        <v>0.506291192330737</v>
      </c>
      <c r="D16" s="30" t="n">
        <f aca="false">D15/D6</f>
        <v>0.418459957760146</v>
      </c>
      <c r="E16" s="30" t="n">
        <f aca="false">E15/E6</f>
        <v>0.349402212134774</v>
      </c>
      <c r="F16" s="30" t="n">
        <f aca="false">F15/F6</f>
        <v>0.340628888134826</v>
      </c>
      <c r="G16" s="30" t="n">
        <f aca="false">G15/G6</f>
        <v>0.37</v>
      </c>
      <c r="H16" s="30" t="n">
        <f aca="false">H15/H6</f>
        <v>0.398</v>
      </c>
      <c r="I16" s="30" t="n">
        <f aca="false">I15/I6</f>
        <v>0.416</v>
      </c>
      <c r="J16" s="30" t="n">
        <f aca="false">J15/J6</f>
        <v>0.427</v>
      </c>
      <c r="K16" s="30" t="n">
        <f aca="false">K15/K6</f>
        <v>0.437</v>
      </c>
    </row>
    <row r="17" customFormat="false" ht="15" hidden="false" customHeight="false" outlineLevel="0" collapsed="false">
      <c r="A17" s="12" t="s">
        <v>127</v>
      </c>
      <c r="B17" s="13"/>
      <c r="C17" s="13"/>
      <c r="D17" s="13"/>
      <c r="E17" s="13"/>
      <c r="F17" s="13"/>
      <c r="G17" s="13"/>
      <c r="H17" s="13"/>
      <c r="I17" s="13"/>
      <c r="J17" s="13"/>
      <c r="K17" s="13"/>
      <c r="L17" s="13"/>
      <c r="M17" s="13"/>
    </row>
    <row r="18" customFormat="false" ht="15" hidden="false" customHeight="false" outlineLevel="0" collapsed="false">
      <c r="A18" s="14" t="s">
        <v>128</v>
      </c>
      <c r="B18" s="25" t="n">
        <f aca="false">'Source Data'!B$13</f>
        <v>184</v>
      </c>
      <c r="C18" s="25" t="n">
        <f aca="false">'Source Data'!C$13</f>
        <v>214</v>
      </c>
      <c r="D18" s="25" t="n">
        <f aca="false">'Source Data'!D$13</f>
        <v>353</v>
      </c>
      <c r="E18" s="25" t="n">
        <f aca="false">'Source Data'!E$13</f>
        <v>508</v>
      </c>
      <c r="F18" s="25" t="n">
        <f aca="false">'Source Data'!F$13</f>
        <v>543</v>
      </c>
      <c r="G18" s="29" t="n">
        <f aca="false">AVERAGE(Assumptions!G$23+Assumptions!G$24,'Source Data'!F$32+'Source Data'!F$31)*Assumptions!G$13</f>
        <v>604.064</v>
      </c>
      <c r="H18" s="29" t="n">
        <f aca="false">AVERAGE(Assumptions!H$23+Assumptions!H$24,Assumptions!G$23+Assumptions!G$24)*Assumptions!H$13</f>
        <v>604.064</v>
      </c>
      <c r="I18" s="29" t="n">
        <f aca="false">AVERAGE(Assumptions!I$23+Assumptions!I$24,Assumptions!H$23+Assumptions!H$24)*Assumptions!I$13</f>
        <v>604.064</v>
      </c>
      <c r="J18" s="29" t="n">
        <f aca="false">AVERAGE(Assumptions!J$23+Assumptions!J$24,Assumptions!I$23+Assumptions!I$24)*Assumptions!J$13</f>
        <v>604.064</v>
      </c>
      <c r="K18" s="29" t="n">
        <f aca="false">AVERAGE(Assumptions!K$23+Assumptions!K$24,Assumptions!J$23+Assumptions!J$24)*Assumptions!K$13</f>
        <v>604.064</v>
      </c>
    </row>
    <row r="19" customFormat="false" ht="95.5" hidden="false" customHeight="false" outlineLevel="0" collapsed="false">
      <c r="A19" s="14" t="s">
        <v>129</v>
      </c>
      <c r="B19" s="25" t="n">
        <f aca="false">'Source Data'!B$14-B15+B18</f>
        <v>143</v>
      </c>
      <c r="C19" s="25" t="n">
        <f aca="false">'Source Data'!C$14-C15+C18</f>
        <v>106</v>
      </c>
      <c r="D19" s="25" t="n">
        <f aca="false">'Source Data'!D$14-D15+D18</f>
        <v>440</v>
      </c>
      <c r="E19" s="25" t="n">
        <f aca="false">'Source Data'!E$14-E15+E18</f>
        <v>496</v>
      </c>
      <c r="F19" s="25" t="n">
        <f aca="false">'Source Data'!F$14-F15+F18</f>
        <v>230</v>
      </c>
      <c r="G19" s="29" t="n">
        <f aca="false">('Balance Sheet'!F$6+'Balance Sheet'!F$7)*Assumptions!G$14</f>
        <v>209.49</v>
      </c>
      <c r="H19" s="29" t="n">
        <f aca="false">('Balance Sheet'!G$6+'Balance Sheet'!G$7)*Assumptions!H$14</f>
        <v>144.599992767123</v>
      </c>
      <c r="I19" s="29" t="n">
        <f aca="false">('Balance Sheet'!H$6+'Balance Sheet'!H$7)*Assumptions!I$14</f>
        <v>132.048904198751</v>
      </c>
      <c r="J19" s="29" t="n">
        <f aca="false">('Balance Sheet'!I$6+'Balance Sheet'!I$7)*Assumptions!J$14</f>
        <v>156.368063850039</v>
      </c>
      <c r="K19" s="29" t="n">
        <f aca="false">('Balance Sheet'!J$6+'Balance Sheet'!J$7)*Assumptions!K$14</f>
        <v>204.456845353715</v>
      </c>
      <c r="M19" s="18" t="s">
        <v>130</v>
      </c>
    </row>
    <row r="20" customFormat="false" ht="15" hidden="false" customHeight="false" outlineLevel="0" collapsed="false">
      <c r="A20" s="5" t="s">
        <v>131</v>
      </c>
      <c r="B20" s="31" t="n">
        <f aca="false">B15-B18+B19</f>
        <v>8919</v>
      </c>
      <c r="C20" s="31" t="n">
        <f aca="false">C15-C18+C19</f>
        <v>10032</v>
      </c>
      <c r="D20" s="31" t="n">
        <f aca="false">D15-D18+D19</f>
        <v>7418</v>
      </c>
      <c r="E20" s="31" t="n">
        <f aca="false">E15-E18+E19</f>
        <v>5453</v>
      </c>
      <c r="F20" s="31" t="n">
        <f aca="false">F15-F18+F19</f>
        <v>5710</v>
      </c>
      <c r="G20" s="31" t="n">
        <f aca="false">G15-G18+G19</f>
        <v>6802</v>
      </c>
      <c r="H20" s="31" t="n">
        <f aca="false">H15-H18+H19</f>
        <v>7901.00996076713</v>
      </c>
      <c r="I20" s="31" t="n">
        <f aca="false">I15-I18+I19</f>
        <v>8878.27177011875</v>
      </c>
      <c r="J20" s="31" t="n">
        <f aca="false">J15-J18+J19</f>
        <v>9725.68589378444</v>
      </c>
      <c r="K20" s="31" t="n">
        <f aca="false">K15-K18+K19</f>
        <v>10532.6088937504</v>
      </c>
    </row>
    <row r="21" customFormat="false" ht="15" hidden="false" customHeight="false" outlineLevel="0" collapsed="false">
      <c r="A21" s="14" t="s">
        <v>132</v>
      </c>
      <c r="B21" s="25" t="n">
        <f aca="false">'Source Data'!B$15</f>
        <v>1150</v>
      </c>
      <c r="C21" s="25" t="n">
        <f aca="false">'Source Data'!C$15</f>
        <v>1283</v>
      </c>
      <c r="D21" s="25" t="n">
        <f aca="false">'Source Data'!D$15</f>
        <v>908</v>
      </c>
      <c r="E21" s="25" t="n">
        <f aca="false">'Source Data'!E$15</f>
        <v>654</v>
      </c>
      <c r="F21" s="25" t="n">
        <f aca="false">'Source Data'!F$15</f>
        <v>709</v>
      </c>
      <c r="G21" s="29" t="n">
        <f aca="false">G20*Assumptions!G$11</f>
        <v>952.28</v>
      </c>
      <c r="H21" s="29" t="n">
        <f aca="false">H20*Assumptions!H$11</f>
        <v>1106.1413945074</v>
      </c>
      <c r="I21" s="29" t="n">
        <f aca="false">I20*Assumptions!I$11</f>
        <v>1242.95804781663</v>
      </c>
      <c r="J21" s="29" t="n">
        <f aca="false">J20*Assumptions!J$11</f>
        <v>1361.59602512982</v>
      </c>
      <c r="K21" s="29" t="n">
        <f aca="false">K20*Assumptions!K$11</f>
        <v>1474.56524512506</v>
      </c>
    </row>
    <row r="22" customFormat="false" ht="15" hidden="false" customHeight="false" outlineLevel="0" collapsed="false">
      <c r="A22" s="14" t="s">
        <v>133</v>
      </c>
      <c r="B22" s="30" t="n">
        <f aca="false">B21/B20</f>
        <v>0.128938221773741</v>
      </c>
      <c r="C22" s="30" t="n">
        <f aca="false">C21/C20</f>
        <v>0.127890749601276</v>
      </c>
      <c r="D22" s="30" t="n">
        <f aca="false">D21/D20</f>
        <v>0.122404960905905</v>
      </c>
      <c r="E22" s="30" t="n">
        <f aca="false">E21/E20</f>
        <v>0.1199339812947</v>
      </c>
      <c r="F22" s="30" t="n">
        <f aca="false">F21/F20</f>
        <v>0.124168126094571</v>
      </c>
      <c r="G22" s="30" t="n">
        <f aca="false">G21/G20</f>
        <v>0.14</v>
      </c>
      <c r="H22" s="30" t="n">
        <f aca="false">H21/H20</f>
        <v>0.14</v>
      </c>
      <c r="I22" s="30" t="n">
        <f aca="false">I21/I20</f>
        <v>0.14</v>
      </c>
      <c r="J22" s="30" t="n">
        <f aca="false">J21/J20</f>
        <v>0.14</v>
      </c>
      <c r="K22" s="30" t="n">
        <f aca="false">K21/K20</f>
        <v>0.14</v>
      </c>
    </row>
    <row r="23" customFormat="false" ht="15" hidden="false" customHeight="false" outlineLevel="0" collapsed="false">
      <c r="A23" s="5" t="s">
        <v>134</v>
      </c>
      <c r="B23" s="32" t="n">
        <f aca="false">B20-B21</f>
        <v>7769</v>
      </c>
      <c r="C23" s="32" t="n">
        <f aca="false">C20-C21</f>
        <v>8749</v>
      </c>
      <c r="D23" s="32" t="n">
        <f aca="false">D20-D21</f>
        <v>6510</v>
      </c>
      <c r="E23" s="32" t="n">
        <f aca="false">E20-E21</f>
        <v>4799</v>
      </c>
      <c r="F23" s="32" t="n">
        <f aca="false">F20-F21</f>
        <v>5001</v>
      </c>
      <c r="G23" s="32" t="n">
        <f aca="false">G20-G21</f>
        <v>5849.72</v>
      </c>
      <c r="H23" s="32" t="n">
        <f aca="false">H20-H21</f>
        <v>6794.86856625973</v>
      </c>
      <c r="I23" s="32" t="n">
        <f aca="false">I20-I21</f>
        <v>7635.31372230213</v>
      </c>
      <c r="J23" s="32" t="n">
        <f aca="false">J20-J21</f>
        <v>8364.08986865462</v>
      </c>
      <c r="K23" s="32" t="n">
        <f aca="false">K20-K21</f>
        <v>9058.04364862538</v>
      </c>
    </row>
    <row r="24" customFormat="false" ht="15" hidden="false" customHeight="false" outlineLevel="0" collapsed="false">
      <c r="A24" s="14" t="s">
        <v>135</v>
      </c>
      <c r="B24" s="30" t="n">
        <f aca="false">B23/B6</f>
        <v>0.423517226341038</v>
      </c>
      <c r="C24" s="30" t="n">
        <f aca="false">C23/C6</f>
        <v>0.436838426203315</v>
      </c>
      <c r="D24" s="30" t="n">
        <f aca="false">D23/D6</f>
        <v>0.37159655231463</v>
      </c>
      <c r="E24" s="30" t="n">
        <f aca="false">E23/E6</f>
        <v>0.306821814461991</v>
      </c>
      <c r="F24" s="30" t="n">
        <f aca="false">F23/F6</f>
        <v>0.282829996606719</v>
      </c>
      <c r="G24" s="30" t="n">
        <f aca="false">G23/G6</f>
        <v>0.300753719756095</v>
      </c>
      <c r="H24" s="30" t="n">
        <f aca="false">H23/H6</f>
        <v>0.323469422872721</v>
      </c>
      <c r="I24" s="30" t="n">
        <f aca="false">I23/I6</f>
        <v>0.339699792533067</v>
      </c>
      <c r="J24" s="30" t="n">
        <f aca="false">J23/J6</f>
        <v>0.351059896661576</v>
      </c>
      <c r="K24" s="30" t="n">
        <f aca="false">K23/K6</f>
        <v>0.362082587549101</v>
      </c>
    </row>
    <row r="25" customFormat="false" ht="15" hidden="false" customHeight="false" outlineLevel="0" collapsed="false">
      <c r="A25" s="12" t="s">
        <v>136</v>
      </c>
      <c r="B25" s="13"/>
      <c r="C25" s="13"/>
      <c r="D25" s="13"/>
      <c r="E25" s="13"/>
      <c r="F25" s="13"/>
      <c r="G25" s="13"/>
      <c r="H25" s="13"/>
      <c r="I25" s="13"/>
      <c r="J25" s="13"/>
      <c r="K25" s="13"/>
      <c r="L25" s="13"/>
      <c r="M25" s="13"/>
    </row>
    <row r="26" customFormat="false" ht="15" hidden="false" customHeight="false" outlineLevel="0" collapsed="false">
      <c r="A26" s="14" t="s">
        <v>137</v>
      </c>
      <c r="B26" s="33" t="n">
        <f aca="false">'Source Data'!B$17</f>
        <v>936</v>
      </c>
      <c r="C26" s="33" t="n">
        <f aca="false">'Source Data'!C$17</f>
        <v>926</v>
      </c>
      <c r="D26" s="33" t="n">
        <f aca="false">'Source Data'!D$17</f>
        <v>916</v>
      </c>
      <c r="E26" s="33" t="n">
        <f aca="false">'Source Data'!E$17</f>
        <v>919</v>
      </c>
      <c r="F26" s="33" t="n">
        <f aca="false">'Source Data'!F$17</f>
        <v>913</v>
      </c>
      <c r="G26" s="34" t="n">
        <f aca="false">F26*(1+Assumptions!G$27)</f>
        <v>908.435</v>
      </c>
      <c r="H26" s="34" t="n">
        <f aca="false">G26*(1+Assumptions!H$27)</f>
        <v>903.892825</v>
      </c>
      <c r="I26" s="34" t="n">
        <f aca="false">H26*(1+Assumptions!I$27)</f>
        <v>899.373360875</v>
      </c>
      <c r="J26" s="34" t="n">
        <f aca="false">I26*(1+Assumptions!J$27)</f>
        <v>894.876494070625</v>
      </c>
      <c r="K26" s="34" t="n">
        <f aca="false">J26*(1+Assumptions!K$27)</f>
        <v>890.402111600272</v>
      </c>
    </row>
    <row r="27" customFormat="false" ht="15" hidden="false" customHeight="false" outlineLevel="0" collapsed="false">
      <c r="A27" s="5" t="s">
        <v>138</v>
      </c>
      <c r="B27" s="35" t="n">
        <f aca="false">B23/B26</f>
        <v>8.30021367521368</v>
      </c>
      <c r="C27" s="35" t="n">
        <f aca="false">C23/C26</f>
        <v>9.44816414686825</v>
      </c>
      <c r="D27" s="35" t="n">
        <f aca="false">D23/D26</f>
        <v>7.10698689956332</v>
      </c>
      <c r="E27" s="35" t="n">
        <f aca="false">E23/E26</f>
        <v>5.22198041349293</v>
      </c>
      <c r="F27" s="35" t="n">
        <f aca="false">F23/F26</f>
        <v>5.47754654983571</v>
      </c>
      <c r="G27" s="35" t="n">
        <f aca="false">G23/G26</f>
        <v>6.43933798235427</v>
      </c>
      <c r="H27" s="35" t="n">
        <f aca="false">H23/H26</f>
        <v>7.51733875778882</v>
      </c>
      <c r="I27" s="35" t="n">
        <f aca="false">I23/I26</f>
        <v>8.48959292598319</v>
      </c>
      <c r="J27" s="35" t="n">
        <f aca="false">J23/J26</f>
        <v>9.34664160258356</v>
      </c>
      <c r="K27" s="35" t="n">
        <f aca="false">K23/K26</f>
        <v>10.1729808707954</v>
      </c>
    </row>
    <row r="28" customFormat="false" ht="15" hidden="false" customHeight="false" outlineLevel="0" collapsed="false">
      <c r="A28" s="12" t="s">
        <v>139</v>
      </c>
      <c r="B28" s="13"/>
      <c r="C28" s="13"/>
      <c r="D28" s="13"/>
      <c r="E28" s="13"/>
      <c r="F28" s="13"/>
      <c r="G28" s="13"/>
      <c r="H28" s="13"/>
      <c r="I28" s="13"/>
      <c r="J28" s="13"/>
      <c r="K28" s="13"/>
      <c r="L28" s="13"/>
      <c r="M28" s="13"/>
    </row>
    <row r="29" customFormat="false" ht="15" hidden="false" customHeight="false" outlineLevel="0" collapsed="false">
      <c r="A29" s="14" t="s">
        <v>140</v>
      </c>
      <c r="B29" s="25" t="n">
        <f aca="false">'Cash Flow'!B$7</f>
        <v>755</v>
      </c>
      <c r="C29" s="25" t="n">
        <f aca="false">'Cash Flow'!C$7</f>
        <v>925</v>
      </c>
      <c r="D29" s="25" t="n">
        <f aca="false">'Cash Flow'!D$7</f>
        <v>1175</v>
      </c>
      <c r="E29" s="25" t="n">
        <f aca="false">'Cash Flow'!E$7</f>
        <v>1508</v>
      </c>
      <c r="F29" s="25" t="n">
        <f aca="false">'Cash Flow'!F$7</f>
        <v>1918</v>
      </c>
      <c r="G29" s="25" t="n">
        <f aca="false">'Cash Flow'!G$7</f>
        <v>1971.2</v>
      </c>
      <c r="H29" s="25" t="n">
        <f aca="false">'Cash Flow'!H$7</f>
        <v>2340.45504</v>
      </c>
      <c r="I29" s="25" t="n">
        <f aca="false">'Cash Flow'!I$7</f>
        <v>2570.9612544</v>
      </c>
      <c r="J29" s="25" t="n">
        <f aca="false">'Cash Flow'!J$7</f>
        <v>2699.047080576</v>
      </c>
      <c r="K29" s="25" t="n">
        <f aca="false">'Cash Flow'!K$7</f>
        <v>2762.7647515776</v>
      </c>
    </row>
    <row r="30" customFormat="false" ht="15" hidden="false" customHeight="false" outlineLevel="0" collapsed="false">
      <c r="A30" s="5" t="s">
        <v>141</v>
      </c>
      <c r="B30" s="36" t="n">
        <f aca="false">B15+B29</f>
        <v>9715</v>
      </c>
      <c r="C30" s="36" t="n">
        <f aca="false">C15+C29</f>
        <v>11065</v>
      </c>
      <c r="D30" s="36" t="n">
        <f aca="false">D15+D29</f>
        <v>8506</v>
      </c>
      <c r="E30" s="36" t="n">
        <f aca="false">E15+E29</f>
        <v>6973</v>
      </c>
      <c r="F30" s="36" t="n">
        <f aca="false">F15+F29</f>
        <v>7941</v>
      </c>
      <c r="G30" s="36" t="n">
        <f aca="false">G15+G29</f>
        <v>9167.774</v>
      </c>
      <c r="H30" s="36" t="n">
        <f aca="false">H15+H29</f>
        <v>10700.929008</v>
      </c>
      <c r="I30" s="36" t="n">
        <f aca="false">I15+I29</f>
        <v>11921.24812032</v>
      </c>
      <c r="J30" s="36" t="n">
        <f aca="false">J15+J29</f>
        <v>12872.4289105104</v>
      </c>
      <c r="K30" s="36" t="n">
        <f aca="false">K15+K29</f>
        <v>13694.9807999743</v>
      </c>
    </row>
    <row r="31" customFormat="false" ht="15" hidden="false" customHeight="false" outlineLevel="0" collapsed="false">
      <c r="A31" s="14" t="s">
        <v>142</v>
      </c>
      <c r="B31" s="30" t="n">
        <f aca="false">B30/B6</f>
        <v>0.529600959441779</v>
      </c>
      <c r="C31" s="30" t="n">
        <f aca="false">C30/C6</f>
        <v>0.552476532854004</v>
      </c>
      <c r="D31" s="30" t="n">
        <f aca="false">D30/D6</f>
        <v>0.485529996004338</v>
      </c>
      <c r="E31" s="30" t="n">
        <f aca="false">E30/E6</f>
        <v>0.445815484943418</v>
      </c>
      <c r="F31" s="30" t="n">
        <f aca="false">F30/F6</f>
        <v>0.4491007804547</v>
      </c>
      <c r="G31" s="30" t="n">
        <f aca="false">G30/G6</f>
        <v>0.471346001583531</v>
      </c>
      <c r="H31" s="30" t="n">
        <f aca="false">H30/H6</f>
        <v>0.509417260490895</v>
      </c>
      <c r="I31" s="30" t="n">
        <f aca="false">I30/I6</f>
        <v>0.530383643749861</v>
      </c>
      <c r="J31" s="30" t="n">
        <f aca="false">J30/J6</f>
        <v>0.540285151650834</v>
      </c>
      <c r="K31" s="30" t="n">
        <f aca="false">K30/K6</f>
        <v>0.547437645130191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2.5"/>
    <col collapsed="false" customWidth="true" hidden="false" outlineLevel="0" max="12" min="12" style="1" width="4"/>
    <col collapsed="false" customWidth="true" hidden="false" outlineLevel="0" max="15" min="13" style="1" width="30"/>
  </cols>
  <sheetData>
    <row r="1" customFormat="false" ht="17.35" hidden="false" customHeight="false" outlineLevel="0" collapsed="false">
      <c r="A1" s="7" t="s">
        <v>143</v>
      </c>
    </row>
    <row r="2" customFormat="false" ht="15" hidden="false" customHeight="false" outlineLevel="0" collapsed="false">
      <c r="A2" s="8" t="s">
        <v>144</v>
      </c>
    </row>
    <row r="4" customFormat="false" ht="15" hidden="false" customHeight="false" outlineLevel="0" collapsed="false">
      <c r="A4" s="9" t="s">
        <v>49</v>
      </c>
      <c r="B4" s="10" t="s">
        <v>50</v>
      </c>
      <c r="C4" s="10" t="s">
        <v>51</v>
      </c>
      <c r="D4" s="10" t="s">
        <v>52</v>
      </c>
      <c r="E4" s="10" t="s">
        <v>53</v>
      </c>
      <c r="F4" s="10" t="s">
        <v>54</v>
      </c>
      <c r="G4" s="10" t="s">
        <v>55</v>
      </c>
      <c r="H4" s="10" t="s">
        <v>56</v>
      </c>
      <c r="I4" s="10" t="s">
        <v>57</v>
      </c>
      <c r="J4" s="10" t="s">
        <v>58</v>
      </c>
      <c r="K4" s="10" t="s">
        <v>59</v>
      </c>
      <c r="L4" s="11"/>
      <c r="M4" s="9" t="s">
        <v>60</v>
      </c>
    </row>
    <row r="5" customFormat="false" ht="15" hidden="false" customHeight="false" outlineLevel="0" collapsed="false">
      <c r="A5" s="12" t="s">
        <v>145</v>
      </c>
      <c r="B5" s="13"/>
      <c r="C5" s="13"/>
      <c r="D5" s="13"/>
      <c r="E5" s="13"/>
      <c r="F5" s="13"/>
      <c r="G5" s="13"/>
      <c r="H5" s="13"/>
      <c r="I5" s="13"/>
      <c r="J5" s="13"/>
      <c r="K5" s="13"/>
      <c r="L5" s="13"/>
      <c r="M5" s="13"/>
    </row>
    <row r="6" customFormat="false" ht="15" hidden="false" customHeight="false" outlineLevel="0" collapsed="false">
      <c r="A6" s="14" t="s">
        <v>146</v>
      </c>
      <c r="B6" s="25" t="n">
        <f aca="false">'Source Data'!B$23</f>
        <v>4631</v>
      </c>
      <c r="C6" s="25" t="n">
        <f aca="false">'Source Data'!C$23</f>
        <v>3050</v>
      </c>
      <c r="D6" s="25" t="n">
        <f aca="false">'Source Data'!D$23</f>
        <v>2964</v>
      </c>
      <c r="E6" s="25" t="n">
        <f aca="false">'Source Data'!E$23</f>
        <v>3200</v>
      </c>
      <c r="F6" s="25" t="n">
        <f aca="false">'Source Data'!F$23</f>
        <v>3225</v>
      </c>
      <c r="G6" s="25" t="n">
        <f aca="false">'Cash Flow'!G$24</f>
        <v>1061.99975890411</v>
      </c>
      <c r="H6" s="25" t="n">
        <f aca="false">'Cash Flow'!H$24</f>
        <v>643.630139958359</v>
      </c>
      <c r="I6" s="25" t="n">
        <f aca="false">'Cash Flow'!I$24</f>
        <v>1454.26879500131</v>
      </c>
      <c r="J6" s="25" t="n">
        <f aca="false">'Cash Flow'!J$24</f>
        <v>3057.22817845717</v>
      </c>
      <c r="K6" s="25" t="n">
        <f aca="false">'Cash Flow'!K$24</f>
        <v>5330.41973332634</v>
      </c>
    </row>
    <row r="7" customFormat="false" ht="32.8" hidden="false" customHeight="false" outlineLevel="0" collapsed="false">
      <c r="A7" s="14" t="s">
        <v>147</v>
      </c>
      <c r="B7" s="25" t="n">
        <f aca="false">'Source Data'!B$26-'Source Data'!B$23-'Source Data'!B$24-'Source Data'!B$25</f>
        <v>5443</v>
      </c>
      <c r="C7" s="25" t="n">
        <f aca="false">'Source Data'!C$26-'Source Data'!C$23-'Source Data'!C$24-'Source Data'!C$25</f>
        <v>6319</v>
      </c>
      <c r="D7" s="25" t="n">
        <f aca="false">'Source Data'!D$26-'Source Data'!D$23-'Source Data'!D$24-'Source Data'!D$25</f>
        <v>6372</v>
      </c>
      <c r="E7" s="25" t="n">
        <f aca="false">'Source Data'!E$26-'Source Data'!E$23-'Source Data'!E$24-'Source Data'!E$25</f>
        <v>5580</v>
      </c>
      <c r="F7" s="25" t="n">
        <f aca="false">'Source Data'!F$26-'Source Data'!F$23-'Source Data'!F$24-'Source Data'!F$25</f>
        <v>3758</v>
      </c>
      <c r="G7" s="29" t="n">
        <f aca="false">Assumptions!G$29</f>
        <v>3758</v>
      </c>
      <c r="H7" s="29" t="n">
        <f aca="false">Assumptions!H$29</f>
        <v>3758</v>
      </c>
      <c r="I7" s="29" t="n">
        <f aca="false">Assumptions!I$29</f>
        <v>3758</v>
      </c>
      <c r="J7" s="29" t="n">
        <f aca="false">Assumptions!J$29</f>
        <v>3758</v>
      </c>
      <c r="K7" s="29" t="n">
        <f aca="false">Assumptions!K$29</f>
        <v>3758</v>
      </c>
      <c r="M7" s="18" t="s">
        <v>148</v>
      </c>
    </row>
    <row r="8" customFormat="false" ht="15" hidden="false" customHeight="false" outlineLevel="0" collapsed="false">
      <c r="A8" s="14" t="s">
        <v>149</v>
      </c>
      <c r="B8" s="25" t="n">
        <f aca="false">'Source Data'!B$24</f>
        <v>1701</v>
      </c>
      <c r="C8" s="25" t="n">
        <f aca="false">'Source Data'!C$24</f>
        <v>1895</v>
      </c>
      <c r="D8" s="25" t="n">
        <f aca="false">'Source Data'!D$24</f>
        <v>1787</v>
      </c>
      <c r="E8" s="25" t="n">
        <f aca="false">'Source Data'!E$24</f>
        <v>1719</v>
      </c>
      <c r="F8" s="25" t="n">
        <f aca="false">'Source Data'!F$24</f>
        <v>1963</v>
      </c>
      <c r="G8" s="29" t="n">
        <f aca="false">Assumptions!G$18/365*'Income Statement'!G$6</f>
        <v>2131.52876712329</v>
      </c>
      <c r="H8" s="29" t="n">
        <f aca="false">Assumptions!H$18/365*'Income Statement'!H$6</f>
        <v>2302.05106849315</v>
      </c>
      <c r="I8" s="29" t="n">
        <f aca="false">Assumptions!I$18/365*'Income Statement'!I$6</f>
        <v>2463.19464328767</v>
      </c>
      <c r="J8" s="29" t="n">
        <f aca="false">Assumptions!J$18/365*'Income Statement'!J$6</f>
        <v>2610.98632188493</v>
      </c>
      <c r="K8" s="29" t="n">
        <f aca="false">Assumptions!K$18/365*'Income Statement'!K$6</f>
        <v>2741.53563797918</v>
      </c>
    </row>
    <row r="9" customFormat="false" ht="15" hidden="false" customHeight="false" outlineLevel="0" collapsed="false">
      <c r="A9" s="14" t="s">
        <v>150</v>
      </c>
      <c r="B9" s="25" t="n">
        <f aca="false">'Source Data'!B$25</f>
        <v>1910</v>
      </c>
      <c r="C9" s="25" t="n">
        <f aca="false">'Source Data'!C$25</f>
        <v>2757</v>
      </c>
      <c r="D9" s="25" t="n">
        <f aca="false">'Source Data'!D$25</f>
        <v>3999</v>
      </c>
      <c r="E9" s="25" t="n">
        <f aca="false">'Source Data'!E$25</f>
        <v>4527</v>
      </c>
      <c r="F9" s="25" t="n">
        <f aca="false">'Source Data'!F$25</f>
        <v>4804</v>
      </c>
      <c r="G9" s="29" t="n">
        <f aca="false">Assumptions!G$19/365*'Income Statement'!G$8</f>
        <v>4923.8314520548</v>
      </c>
      <c r="H9" s="29" t="n">
        <f aca="false">Assumptions!H$19/365*'Income Statement'!H$8</f>
        <v>4834.30724383562</v>
      </c>
      <c r="I9" s="29" t="n">
        <f aca="false">Assumptions!I$19/365*'Income Statement'!I$8</f>
        <v>4803.22955441096</v>
      </c>
      <c r="J9" s="29" t="n">
        <f aca="false">Assumptions!J$19/365*'Income Statement'!J$8</f>
        <v>4900.49495288778</v>
      </c>
      <c r="K9" s="29" t="n">
        <f aca="false">Assumptions!K$19/365*'Income Statement'!K$8</f>
        <v>4948.47182655242</v>
      </c>
    </row>
    <row r="10" customFormat="false" ht="15" hidden="false" customHeight="false" outlineLevel="0" collapsed="false">
      <c r="A10" s="5" t="s">
        <v>151</v>
      </c>
      <c r="B10" s="31" t="n">
        <f aca="false">SUM(B6:B9)</f>
        <v>13685</v>
      </c>
      <c r="C10" s="31" t="n">
        <f aca="false">SUM(C6:C9)</f>
        <v>14021</v>
      </c>
      <c r="D10" s="31" t="n">
        <f aca="false">SUM(D6:D9)</f>
        <v>15122</v>
      </c>
      <c r="E10" s="31" t="n">
        <f aca="false">SUM(E6:E9)</f>
        <v>15026</v>
      </c>
      <c r="F10" s="31" t="n">
        <f aca="false">SUM(F6:F9)</f>
        <v>13750</v>
      </c>
      <c r="G10" s="31" t="n">
        <f aca="false">SUM(G6:G9)</f>
        <v>11875.3599780822</v>
      </c>
      <c r="H10" s="31" t="n">
        <f aca="false">SUM(H6:H9)</f>
        <v>11537.9884522871</v>
      </c>
      <c r="I10" s="31" t="n">
        <f aca="false">SUM(I6:I9)</f>
        <v>12478.6929926999</v>
      </c>
      <c r="J10" s="31" t="n">
        <f aca="false">SUM(J6:J9)</f>
        <v>14326.7094532299</v>
      </c>
      <c r="K10" s="31" t="n">
        <f aca="false">SUM(K6:K9)</f>
        <v>16778.4271978579</v>
      </c>
    </row>
    <row r="11" customFormat="false" ht="15" hidden="false" customHeight="false" outlineLevel="0" collapsed="false">
      <c r="A11" s="14" t="s">
        <v>152</v>
      </c>
      <c r="B11" s="25" t="n">
        <f aca="false">'Source Data'!B$27</f>
        <v>5141</v>
      </c>
      <c r="C11" s="25" t="n">
        <f aca="false">'Source Data'!C$27</f>
        <v>6876</v>
      </c>
      <c r="D11" s="25" t="n">
        <f aca="false">'Source Data'!D$27</f>
        <v>9999</v>
      </c>
      <c r="E11" s="25" t="n">
        <f aca="false">'Source Data'!E$27</f>
        <v>11347</v>
      </c>
      <c r="F11" s="25" t="n">
        <f aca="false">'Source Data'!F$27</f>
        <v>12320</v>
      </c>
      <c r="G11" s="29" t="n">
        <f aca="false">'Balance Sheet'!F$11-'Cash Flow'!G$14-'Cash Flow'!G$7</f>
        <v>14627.844</v>
      </c>
      <c r="H11" s="29" t="n">
        <f aca="false">'Balance Sheet'!G$11-'Cash Flow'!H$14-'Cash Flow'!H$7</f>
        <v>16068.50784</v>
      </c>
      <c r="I11" s="29" t="n">
        <f aca="false">'Balance Sheet'!H$11-'Cash Flow'!I$14-'Cash Flow'!I$7</f>
        <v>16869.0442536</v>
      </c>
      <c r="J11" s="29" t="n">
        <f aca="false">'Balance Sheet'!I$11-'Cash Flow'!J$14-'Cash Flow'!J$7</f>
        <v>17267.27969736</v>
      </c>
      <c r="K11" s="29" t="n">
        <f aca="false">'Balance Sheet'!J$11-'Cash Flow'!K$14-'Cash Flow'!K$7</f>
        <v>17506.4964693696</v>
      </c>
    </row>
    <row r="12" customFormat="false" ht="32.8" hidden="false" customHeight="false" outlineLevel="0" collapsed="false">
      <c r="A12" s="14" t="s">
        <v>153</v>
      </c>
      <c r="B12" s="25" t="n">
        <f aca="false">'Source Data'!B$28-'Source Data'!B$26-'Source Data'!B$27</f>
        <v>5850</v>
      </c>
      <c r="C12" s="25" t="n">
        <f aca="false">'Source Data'!C$28-'Source Data'!C$26-'Source Data'!C$27</f>
        <v>6310</v>
      </c>
      <c r="D12" s="25" t="n">
        <f aca="false">'Source Data'!D$28-'Source Data'!D$26-'Source Data'!D$27</f>
        <v>7227</v>
      </c>
      <c r="E12" s="25" t="n">
        <f aca="false">'Source Data'!E$28-'Source Data'!E$26-'Source Data'!E$27</f>
        <v>9136</v>
      </c>
      <c r="F12" s="25" t="n">
        <f aca="false">'Source Data'!F$28-'Source Data'!F$26-'Source Data'!F$27</f>
        <v>8515</v>
      </c>
      <c r="G12" s="29" t="n">
        <f aca="false">Assumptions!G$30</f>
        <v>8515</v>
      </c>
      <c r="H12" s="29" t="n">
        <f aca="false">Assumptions!H$30</f>
        <v>8515</v>
      </c>
      <c r="I12" s="29" t="n">
        <f aca="false">Assumptions!I$30</f>
        <v>8515</v>
      </c>
      <c r="J12" s="29" t="n">
        <f aca="false">Assumptions!J$30</f>
        <v>8515</v>
      </c>
      <c r="K12" s="29" t="n">
        <f aca="false">Assumptions!K$30</f>
        <v>8515</v>
      </c>
      <c r="M12" s="18" t="s">
        <v>154</v>
      </c>
    </row>
    <row r="13" customFormat="false" ht="15" hidden="false" customHeight="false" outlineLevel="0" collapsed="false">
      <c r="A13" s="5" t="s">
        <v>155</v>
      </c>
      <c r="B13" s="32" t="n">
        <f aca="false">B10+B11+B12</f>
        <v>24676</v>
      </c>
      <c r="C13" s="32" t="n">
        <f aca="false">C10+C11+C12</f>
        <v>27207</v>
      </c>
      <c r="D13" s="32" t="n">
        <f aca="false">D10+D11+D12</f>
        <v>32348</v>
      </c>
      <c r="E13" s="32" t="n">
        <f aca="false">E10+E11+E12</f>
        <v>35509</v>
      </c>
      <c r="F13" s="32" t="n">
        <f aca="false">F10+F11+F12</f>
        <v>34585</v>
      </c>
      <c r="G13" s="32" t="n">
        <f aca="false">G10+G11+G12</f>
        <v>35018.2039780822</v>
      </c>
      <c r="H13" s="32" t="n">
        <f aca="false">H10+H11+H12</f>
        <v>36121.4962922871</v>
      </c>
      <c r="I13" s="32" t="n">
        <f aca="false">I10+I11+I12</f>
        <v>37862.7372462999</v>
      </c>
      <c r="J13" s="32" t="n">
        <f aca="false">J10+J11+J12</f>
        <v>40108.9891505899</v>
      </c>
      <c r="K13" s="32" t="n">
        <f aca="false">K10+K11+K12</f>
        <v>42799.9236672275</v>
      </c>
    </row>
    <row r="14" customFormat="false" ht="15" hidden="false" customHeight="false" outlineLevel="0" collapsed="false">
      <c r="A14" s="12" t="s">
        <v>156</v>
      </c>
      <c r="B14" s="13"/>
      <c r="C14" s="13"/>
      <c r="D14" s="13"/>
      <c r="E14" s="13"/>
      <c r="F14" s="13"/>
      <c r="G14" s="13"/>
      <c r="H14" s="13"/>
      <c r="I14" s="13"/>
      <c r="J14" s="13"/>
      <c r="K14" s="13"/>
      <c r="L14" s="13"/>
      <c r="M14" s="13"/>
    </row>
    <row r="15" customFormat="false" ht="15" hidden="false" customHeight="false" outlineLevel="0" collapsed="false">
      <c r="A15" s="14" t="s">
        <v>157</v>
      </c>
      <c r="B15" s="25" t="n">
        <f aca="false">'Source Data'!B$29</f>
        <v>571</v>
      </c>
      <c r="C15" s="25" t="n">
        <f aca="false">'Source Data'!C$29</f>
        <v>851</v>
      </c>
      <c r="D15" s="25" t="n">
        <f aca="false">'Source Data'!D$29</f>
        <v>802</v>
      </c>
      <c r="E15" s="25" t="n">
        <f aca="false">'Source Data'!E$29</f>
        <v>820</v>
      </c>
      <c r="F15" s="25" t="n">
        <f aca="false">'Source Data'!F$29</f>
        <v>756</v>
      </c>
      <c r="G15" s="29" t="n">
        <f aca="false">Assumptions!G$20/365*'Income Statement'!G$8</f>
        <v>850.479978082192</v>
      </c>
      <c r="H15" s="29" t="n">
        <f aca="false">Assumptions!H$20/365*'Income Statement'!H$8</f>
        <v>874.779406027397</v>
      </c>
      <c r="I15" s="29" t="n">
        <f aca="false">Assumptions!I$20/365*'Income Statement'!I$8</f>
        <v>912.613615338082</v>
      </c>
      <c r="J15" s="29" t="n">
        <f aca="false">Assumptions!J$20/365*'Income Statement'!J$8</f>
        <v>954.968247229414</v>
      </c>
      <c r="K15" s="29" t="n">
        <f aca="false">Assumptions!K$20/365*'Income Statement'!K$8</f>
        <v>989.694365310483</v>
      </c>
    </row>
    <row r="16" customFormat="false" ht="15" hidden="false" customHeight="false" outlineLevel="0" collapsed="false">
      <c r="A16" s="14" t="s">
        <v>158</v>
      </c>
      <c r="B16" s="25" t="n">
        <f aca="false">'Source Data'!B$31</f>
        <v>500</v>
      </c>
      <c r="C16" s="25" t="n">
        <f aca="false">'Source Data'!C$31</f>
        <v>500</v>
      </c>
      <c r="D16" s="25" t="n">
        <f aca="false">'Source Data'!D$31</f>
        <v>599</v>
      </c>
      <c r="E16" s="25" t="n">
        <f aca="false">'Source Data'!E$31</f>
        <v>750</v>
      </c>
      <c r="F16" s="25" t="n">
        <f aca="false">'Source Data'!F$31</f>
        <v>500</v>
      </c>
      <c r="G16" s="29" t="n">
        <f aca="false">Assumptions!G$24</f>
        <v>500</v>
      </c>
      <c r="H16" s="29" t="n">
        <f aca="false">Assumptions!H$24</f>
        <v>500</v>
      </c>
      <c r="I16" s="29" t="n">
        <f aca="false">Assumptions!I$24</f>
        <v>500</v>
      </c>
      <c r="J16" s="29" t="n">
        <f aca="false">Assumptions!J$24</f>
        <v>500</v>
      </c>
      <c r="K16" s="29" t="n">
        <f aca="false">Assumptions!K$24</f>
        <v>500</v>
      </c>
    </row>
    <row r="17" customFormat="false" ht="43.25" hidden="false" customHeight="false" outlineLevel="0" collapsed="false">
      <c r="A17" s="14" t="s">
        <v>159</v>
      </c>
      <c r="B17" s="25" t="n">
        <f aca="false">'Source Data'!B$30-'Source Data'!B$29-'Source Data'!B$31</f>
        <v>1498</v>
      </c>
      <c r="C17" s="25" t="n">
        <f aca="false">'Source Data'!C$30-'Source Data'!C$29-'Source Data'!C$31</f>
        <v>1634</v>
      </c>
      <c r="D17" s="25" t="n">
        <f aca="false">'Source Data'!D$30-'Source Data'!D$29-'Source Data'!D$31</f>
        <v>1919</v>
      </c>
      <c r="E17" s="25" t="n">
        <f aca="false">'Source Data'!E$30-'Source Data'!E$29-'Source Data'!E$31</f>
        <v>2073</v>
      </c>
      <c r="F17" s="25" t="n">
        <f aca="false">'Source Data'!F$30-'Source Data'!F$29-'Source Data'!F$31</f>
        <v>1903</v>
      </c>
      <c r="G17" s="29" t="n">
        <f aca="false">Assumptions!G$31</f>
        <v>1903</v>
      </c>
      <c r="H17" s="29" t="n">
        <f aca="false">Assumptions!H$31</f>
        <v>1903</v>
      </c>
      <c r="I17" s="29" t="n">
        <f aca="false">Assumptions!I$31</f>
        <v>1903</v>
      </c>
      <c r="J17" s="29" t="n">
        <f aca="false">Assumptions!J$31</f>
        <v>1903</v>
      </c>
      <c r="K17" s="29" t="n">
        <f aca="false">Assumptions!K$31</f>
        <v>1903</v>
      </c>
      <c r="M17" s="18" t="s">
        <v>160</v>
      </c>
    </row>
    <row r="18" customFormat="false" ht="15" hidden="false" customHeight="false" outlineLevel="0" collapsed="false">
      <c r="A18" s="5" t="s">
        <v>161</v>
      </c>
      <c r="B18" s="31" t="n">
        <f aca="false">SUM(B15:B17)</f>
        <v>2569</v>
      </c>
      <c r="C18" s="31" t="n">
        <f aca="false">SUM(C15:C17)</f>
        <v>2985</v>
      </c>
      <c r="D18" s="31" t="n">
        <f aca="false">SUM(D15:D17)</f>
        <v>3320</v>
      </c>
      <c r="E18" s="31" t="n">
        <f aca="false">SUM(E15:E17)</f>
        <v>3643</v>
      </c>
      <c r="F18" s="31" t="n">
        <f aca="false">SUM(F15:F17)</f>
        <v>3159</v>
      </c>
      <c r="G18" s="31" t="n">
        <f aca="false">SUM(G15:G17)</f>
        <v>3253.47997808219</v>
      </c>
      <c r="H18" s="31" t="n">
        <f aca="false">SUM(H15:H17)</f>
        <v>3277.7794060274</v>
      </c>
      <c r="I18" s="31" t="n">
        <f aca="false">SUM(I15:I17)</f>
        <v>3315.61361533808</v>
      </c>
      <c r="J18" s="31" t="n">
        <f aca="false">SUM(J15:J17)</f>
        <v>3357.96824722941</v>
      </c>
      <c r="K18" s="31" t="n">
        <f aca="false">SUM(K15:K17)</f>
        <v>3392.69436531048</v>
      </c>
    </row>
    <row r="19" customFormat="false" ht="15" hidden="false" customHeight="false" outlineLevel="0" collapsed="false">
      <c r="A19" s="14" t="s">
        <v>162</v>
      </c>
      <c r="B19" s="25" t="n">
        <f aca="false">'Source Data'!B$32</f>
        <v>7241</v>
      </c>
      <c r="C19" s="25" t="n">
        <f aca="false">'Source Data'!C$32</f>
        <v>8235</v>
      </c>
      <c r="D19" s="25" t="n">
        <f aca="false">'Source Data'!D$32</f>
        <v>10624</v>
      </c>
      <c r="E19" s="25" t="n">
        <f aca="false">'Source Data'!E$32</f>
        <v>12846</v>
      </c>
      <c r="F19" s="25" t="n">
        <f aca="false">'Source Data'!F$32</f>
        <v>13548</v>
      </c>
      <c r="G19" s="29" t="n">
        <f aca="false">Assumptions!G$23</f>
        <v>13548</v>
      </c>
      <c r="H19" s="29" t="n">
        <f aca="false">Assumptions!H$23</f>
        <v>13548</v>
      </c>
      <c r="I19" s="29" t="n">
        <f aca="false">Assumptions!I$23</f>
        <v>13548</v>
      </c>
      <c r="J19" s="29" t="n">
        <f aca="false">Assumptions!J$23</f>
        <v>13548</v>
      </c>
      <c r="K19" s="29" t="n">
        <f aca="false">Assumptions!K$23</f>
        <v>13548</v>
      </c>
    </row>
    <row r="20" customFormat="false" ht="32.8" hidden="false" customHeight="false" outlineLevel="0" collapsed="false">
      <c r="A20" s="14" t="s">
        <v>163</v>
      </c>
      <c r="B20" s="25" t="n">
        <f aca="false">'Source Data'!B$33-'Source Data'!B$30-'Source Data'!B$32</f>
        <v>1533</v>
      </c>
      <c r="C20" s="25" t="n">
        <f aca="false">'Source Data'!C$33-'Source Data'!C$30-'Source Data'!C$32</f>
        <v>1410</v>
      </c>
      <c r="D20" s="25" t="n">
        <f aca="false">'Source Data'!D$33-'Source Data'!D$30-'Source Data'!D$32</f>
        <v>1507</v>
      </c>
      <c r="E20" s="25" t="n">
        <f aca="false">'Source Data'!E$33-'Source Data'!E$30-'Source Data'!E$32</f>
        <v>2117</v>
      </c>
      <c r="F20" s="25" t="n">
        <f aca="false">'Source Data'!F$33-'Source Data'!F$30-'Source Data'!F$32</f>
        <v>1605</v>
      </c>
      <c r="G20" s="29" t="n">
        <f aca="false">Assumptions!G$32</f>
        <v>1605</v>
      </c>
      <c r="H20" s="29" t="n">
        <f aca="false">Assumptions!H$32</f>
        <v>1605</v>
      </c>
      <c r="I20" s="29" t="n">
        <f aca="false">Assumptions!I$32</f>
        <v>1605</v>
      </c>
      <c r="J20" s="29" t="n">
        <f aca="false">Assumptions!J$32</f>
        <v>1605</v>
      </c>
      <c r="K20" s="29" t="n">
        <f aca="false">Assumptions!K$32</f>
        <v>1605</v>
      </c>
      <c r="M20" s="18" t="s">
        <v>164</v>
      </c>
    </row>
    <row r="21" customFormat="false" ht="15" hidden="false" customHeight="false" outlineLevel="0" collapsed="false">
      <c r="A21" s="5" t="s">
        <v>165</v>
      </c>
      <c r="B21" s="31" t="n">
        <f aca="false">B18+B19+B20</f>
        <v>11343</v>
      </c>
      <c r="C21" s="31" t="n">
        <f aca="false">C18+C19+C20</f>
        <v>12630</v>
      </c>
      <c r="D21" s="31" t="n">
        <f aca="false">D18+D19+D20</f>
        <v>15451</v>
      </c>
      <c r="E21" s="31" t="n">
        <f aca="false">E18+E19+E20</f>
        <v>18606</v>
      </c>
      <c r="F21" s="31" t="n">
        <f aca="false">F18+F19+F20</f>
        <v>18312</v>
      </c>
      <c r="G21" s="31" t="n">
        <f aca="false">G18+G19+G20</f>
        <v>18406.4799780822</v>
      </c>
      <c r="H21" s="31" t="n">
        <f aca="false">H18+H19+H20</f>
        <v>18430.7794060274</v>
      </c>
      <c r="I21" s="31" t="n">
        <f aca="false">I18+I19+I20</f>
        <v>18468.6136153381</v>
      </c>
      <c r="J21" s="31" t="n">
        <f aca="false">J18+J19+J20</f>
        <v>18510.9682472294</v>
      </c>
      <c r="K21" s="31" t="n">
        <f aca="false">K18+K19+K20</f>
        <v>18545.6943653105</v>
      </c>
    </row>
    <row r="22" customFormat="false" ht="43.25" hidden="false" customHeight="false" outlineLevel="0" collapsed="false">
      <c r="A22" s="14" t="s">
        <v>166</v>
      </c>
      <c r="B22" s="25" t="n">
        <f aca="false">'Source Data'!B$34</f>
        <v>13333</v>
      </c>
      <c r="C22" s="25" t="n">
        <f aca="false">'Source Data'!C$34</f>
        <v>14577</v>
      </c>
      <c r="D22" s="25" t="n">
        <f aca="false">'Source Data'!D$34</f>
        <v>16897</v>
      </c>
      <c r="E22" s="25" t="n">
        <f aca="false">'Source Data'!E$34</f>
        <v>16903</v>
      </c>
      <c r="F22" s="25" t="n">
        <f aca="false">'Source Data'!F$34</f>
        <v>16273</v>
      </c>
      <c r="G22" s="29" t="n">
        <f aca="false">'Balance Sheet'!F$22+'Income Statement'!G$23+'Cash Flow'!G$8+'Cash Flow'!G$19</f>
        <v>16611.724</v>
      </c>
      <c r="H22" s="29" t="n">
        <f aca="false">'Balance Sheet'!G$22+'Income Statement'!H$23+'Cash Flow'!H$8+'Cash Flow'!H$19</f>
        <v>17690.7168862597</v>
      </c>
      <c r="I22" s="29" t="n">
        <f aca="false">'Balance Sheet'!H$22+'Income Statement'!I$23+'Cash Flow'!I$8+'Cash Flow'!I$19</f>
        <v>19394.1236309619</v>
      </c>
      <c r="J22" s="29" t="n">
        <f aca="false">'Balance Sheet'!I$22+'Income Statement'!J$23+'Cash Flow'!J$8+'Cash Flow'!J$19</f>
        <v>21598.0209033605</v>
      </c>
      <c r="K22" s="29" t="n">
        <f aca="false">'Balance Sheet'!J$22+'Income Statement'!K$23+'Cash Flow'!K$8+'Cash Flow'!K$19</f>
        <v>24254.2293019171</v>
      </c>
      <c r="M22" s="18" t="s">
        <v>167</v>
      </c>
    </row>
    <row r="23" customFormat="false" ht="15" hidden="false" customHeight="false" outlineLevel="0" collapsed="false">
      <c r="A23" s="5" t="s">
        <v>168</v>
      </c>
      <c r="B23" s="32" t="n">
        <f aca="false">B21+B22</f>
        <v>24676</v>
      </c>
      <c r="C23" s="32" t="n">
        <f aca="false">C21+C22</f>
        <v>27207</v>
      </c>
      <c r="D23" s="32" t="n">
        <f aca="false">D21+D22</f>
        <v>32348</v>
      </c>
      <c r="E23" s="32" t="n">
        <f aca="false">E21+E22</f>
        <v>35509</v>
      </c>
      <c r="F23" s="32" t="n">
        <f aca="false">F21+F22</f>
        <v>34585</v>
      </c>
      <c r="G23" s="32" t="n">
        <f aca="false">G21+G22</f>
        <v>35018.2039780822</v>
      </c>
      <c r="H23" s="32" t="n">
        <f aca="false">H21+H22</f>
        <v>36121.4962922871</v>
      </c>
      <c r="I23" s="32" t="n">
        <f aca="false">I21+I22</f>
        <v>37862.7372462999</v>
      </c>
      <c r="J23" s="32" t="n">
        <f aca="false">J21+J22</f>
        <v>40108.9891505899</v>
      </c>
      <c r="K23" s="32" t="n">
        <f aca="false">K21+K22</f>
        <v>42799.9236672275</v>
      </c>
    </row>
    <row r="24" customFormat="false" ht="15" hidden="false" customHeight="false" outlineLevel="0" collapsed="false">
      <c r="A24" s="12" t="s">
        <v>169</v>
      </c>
      <c r="B24" s="13"/>
      <c r="C24" s="13"/>
      <c r="D24" s="13"/>
      <c r="E24" s="13"/>
      <c r="F24" s="13"/>
      <c r="G24" s="13"/>
      <c r="H24" s="13"/>
      <c r="I24" s="13"/>
      <c r="J24" s="13"/>
      <c r="K24" s="13"/>
      <c r="L24" s="13"/>
      <c r="M24" s="13"/>
    </row>
    <row r="25" customFormat="false" ht="15" hidden="false" customHeight="false" outlineLevel="0" collapsed="false">
      <c r="A25" s="14" t="s">
        <v>170</v>
      </c>
      <c r="B25" s="37" t="n">
        <f aca="false">B13-B23</f>
        <v>0</v>
      </c>
      <c r="C25" s="37" t="n">
        <f aca="false">C13-C23</f>
        <v>0</v>
      </c>
      <c r="D25" s="37" t="n">
        <f aca="false">D13-D23</f>
        <v>0</v>
      </c>
      <c r="E25" s="37" t="n">
        <f aca="false">E13-E23</f>
        <v>0</v>
      </c>
      <c r="F25" s="37" t="n">
        <f aca="false">F13-F23</f>
        <v>0</v>
      </c>
      <c r="G25" s="37" t="n">
        <f aca="false">G13-G23</f>
        <v>0</v>
      </c>
      <c r="H25" s="37" t="n">
        <f aca="false">H13-H23</f>
        <v>0</v>
      </c>
      <c r="I25" s="37" t="n">
        <f aca="false">I13-I23</f>
        <v>0</v>
      </c>
      <c r="J25" s="37" t="n">
        <f aca="false">J13-J23</f>
        <v>0</v>
      </c>
      <c r="K25" s="37" t="n">
        <f aca="false">K13-K23</f>
        <v>0</v>
      </c>
    </row>
    <row r="26" customFormat="false" ht="15" hidden="false" customHeight="false" outlineLevel="0" collapsed="false">
      <c r="A26" s="12" t="s">
        <v>139</v>
      </c>
      <c r="B26" s="13"/>
      <c r="C26" s="13"/>
      <c r="D26" s="13"/>
      <c r="E26" s="13"/>
      <c r="F26" s="13"/>
      <c r="G26" s="13"/>
      <c r="H26" s="13"/>
      <c r="I26" s="13"/>
      <c r="J26" s="13"/>
      <c r="K26" s="13"/>
      <c r="L26" s="13"/>
      <c r="M26" s="13"/>
    </row>
    <row r="27" customFormat="false" ht="15" hidden="false" customHeight="false" outlineLevel="0" collapsed="false">
      <c r="A27" s="14" t="s">
        <v>171</v>
      </c>
      <c r="B27" s="29" t="n">
        <f aca="false">B16+B19</f>
        <v>7741</v>
      </c>
      <c r="C27" s="29" t="n">
        <f aca="false">C16+C19</f>
        <v>8735</v>
      </c>
      <c r="D27" s="29" t="n">
        <f aca="false">D16+D19</f>
        <v>11223</v>
      </c>
      <c r="E27" s="29" t="n">
        <f aca="false">E16+E19</f>
        <v>13596</v>
      </c>
      <c r="F27" s="29" t="n">
        <f aca="false">F16+F19</f>
        <v>14048</v>
      </c>
      <c r="G27" s="29" t="n">
        <f aca="false">G16+G19</f>
        <v>14048</v>
      </c>
      <c r="H27" s="29" t="n">
        <f aca="false">H16+H19</f>
        <v>14048</v>
      </c>
      <c r="I27" s="29" t="n">
        <f aca="false">I16+I19</f>
        <v>14048</v>
      </c>
      <c r="J27" s="29" t="n">
        <f aca="false">J16+J19</f>
        <v>14048</v>
      </c>
      <c r="K27" s="29" t="n">
        <f aca="false">K16+K19</f>
        <v>14048</v>
      </c>
    </row>
    <row r="28" customFormat="false" ht="15" hidden="false" customHeight="false" outlineLevel="0" collapsed="false">
      <c r="A28" s="14" t="s">
        <v>172</v>
      </c>
      <c r="B28" s="29" t="n">
        <f aca="false">B27-B6</f>
        <v>3110</v>
      </c>
      <c r="C28" s="29" t="n">
        <f aca="false">C27-C6</f>
        <v>5685</v>
      </c>
      <c r="D28" s="29" t="n">
        <f aca="false">D27-D6</f>
        <v>8259</v>
      </c>
      <c r="E28" s="29" t="n">
        <f aca="false">E27-E6</f>
        <v>10396</v>
      </c>
      <c r="F28" s="29" t="n">
        <f aca="false">F27-F6</f>
        <v>10823</v>
      </c>
      <c r="G28" s="29" t="n">
        <f aca="false">G27-G6</f>
        <v>12986.0002410959</v>
      </c>
      <c r="H28" s="29" t="n">
        <f aca="false">H27-H6</f>
        <v>13404.3698600416</v>
      </c>
      <c r="I28" s="29" t="n">
        <f aca="false">I27-I6</f>
        <v>12593.7312049987</v>
      </c>
      <c r="J28" s="29" t="n">
        <f aca="false">J27-J6</f>
        <v>10990.7718215428</v>
      </c>
      <c r="K28" s="29" t="n">
        <f aca="false">K27-K6</f>
        <v>8717.58026667366</v>
      </c>
    </row>
    <row r="29" customFormat="false" ht="15" hidden="false" customHeight="false" outlineLevel="0" collapsed="false">
      <c r="A29" s="14" t="s">
        <v>173</v>
      </c>
      <c r="B29" s="29" t="n">
        <f aca="false">B8+B9-B15</f>
        <v>3040</v>
      </c>
      <c r="C29" s="29" t="n">
        <f aca="false">C8+C9-C15</f>
        <v>3801</v>
      </c>
      <c r="D29" s="29" t="n">
        <f aca="false">D8+D9-D15</f>
        <v>4984</v>
      </c>
      <c r="E29" s="29" t="n">
        <f aca="false">E8+E9-E15</f>
        <v>5426</v>
      </c>
      <c r="F29" s="29" t="n">
        <f aca="false">F8+F9-F15</f>
        <v>6011</v>
      </c>
      <c r="G29" s="29" t="n">
        <f aca="false">G8+G9-G15</f>
        <v>6204.88024109589</v>
      </c>
      <c r="H29" s="29" t="n">
        <f aca="false">H8+H9-H15</f>
        <v>6261.57890630137</v>
      </c>
      <c r="I29" s="29" t="n">
        <f aca="false">I8+I9-I15</f>
        <v>6353.81058236055</v>
      </c>
      <c r="J29" s="29" t="n">
        <f aca="false">J8+J9-J15</f>
        <v>6556.5130275433</v>
      </c>
      <c r="K29" s="29" t="n">
        <f aca="false">K8+K9-K15</f>
        <v>6700.31309922111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2.5"/>
    <col collapsed="false" customWidth="true" hidden="false" outlineLevel="0" max="12" min="12" style="1" width="4"/>
    <col collapsed="false" customWidth="true" hidden="false" outlineLevel="0" max="15" min="13" style="1" width="30"/>
  </cols>
  <sheetData>
    <row r="1" customFormat="false" ht="17.35" hidden="false" customHeight="false" outlineLevel="0" collapsed="false">
      <c r="A1" s="7" t="s">
        <v>174</v>
      </c>
    </row>
    <row r="2" customFormat="false" ht="15" hidden="false" customHeight="false" outlineLevel="0" collapsed="false">
      <c r="A2" s="8" t="s">
        <v>175</v>
      </c>
    </row>
    <row r="4" customFormat="false" ht="15" hidden="false" customHeight="false" outlineLevel="0" collapsed="false">
      <c r="A4" s="9" t="s">
        <v>49</v>
      </c>
      <c r="B4" s="10" t="s">
        <v>50</v>
      </c>
      <c r="C4" s="10" t="s">
        <v>51</v>
      </c>
      <c r="D4" s="10" t="s">
        <v>52</v>
      </c>
      <c r="E4" s="10" t="s">
        <v>53</v>
      </c>
      <c r="F4" s="10" t="s">
        <v>54</v>
      </c>
      <c r="G4" s="10" t="s">
        <v>55</v>
      </c>
      <c r="H4" s="10" t="s">
        <v>56</v>
      </c>
      <c r="I4" s="10" t="s">
        <v>57</v>
      </c>
      <c r="J4" s="10" t="s">
        <v>58</v>
      </c>
      <c r="K4" s="10" t="s">
        <v>59</v>
      </c>
      <c r="L4" s="11"/>
      <c r="M4" s="9" t="s">
        <v>60</v>
      </c>
    </row>
    <row r="5" customFormat="false" ht="15" hidden="false" customHeight="false" outlineLevel="0" collapsed="false">
      <c r="A5" s="12" t="s">
        <v>176</v>
      </c>
      <c r="B5" s="13"/>
      <c r="C5" s="13"/>
      <c r="D5" s="13"/>
      <c r="E5" s="13"/>
      <c r="F5" s="13"/>
      <c r="G5" s="13"/>
      <c r="H5" s="13"/>
      <c r="I5" s="13"/>
      <c r="J5" s="13"/>
      <c r="K5" s="13"/>
      <c r="L5" s="13"/>
      <c r="M5" s="13"/>
    </row>
    <row r="6" customFormat="false" ht="15" hidden="false" customHeight="false" outlineLevel="0" collapsed="false">
      <c r="A6" s="14" t="s">
        <v>134</v>
      </c>
      <c r="B6" s="29" t="n">
        <f aca="false">'Income Statement'!B$23</f>
        <v>7769</v>
      </c>
      <c r="C6" s="29" t="n">
        <f aca="false">'Income Statement'!C$23</f>
        <v>8749</v>
      </c>
      <c r="D6" s="29" t="n">
        <f aca="false">'Income Statement'!D$23</f>
        <v>6510</v>
      </c>
      <c r="E6" s="29" t="n">
        <f aca="false">'Income Statement'!E$23</f>
        <v>4799</v>
      </c>
      <c r="F6" s="29" t="n">
        <f aca="false">'Income Statement'!F$23</f>
        <v>5001</v>
      </c>
      <c r="G6" s="29" t="n">
        <f aca="false">'Income Statement'!G$23</f>
        <v>5849.72</v>
      </c>
      <c r="H6" s="29" t="n">
        <f aca="false">'Income Statement'!H$23</f>
        <v>6794.86856625973</v>
      </c>
      <c r="I6" s="29" t="n">
        <f aca="false">'Income Statement'!I$23</f>
        <v>7635.31372230213</v>
      </c>
      <c r="J6" s="29" t="n">
        <f aca="false">'Income Statement'!J$23</f>
        <v>8364.08986865462</v>
      </c>
      <c r="K6" s="29" t="n">
        <f aca="false">'Income Statement'!K$23</f>
        <v>9058.04364862538</v>
      </c>
    </row>
    <row r="7" customFormat="false" ht="32.8" hidden="false" customHeight="false" outlineLevel="0" collapsed="false">
      <c r="A7" s="14" t="s">
        <v>177</v>
      </c>
      <c r="B7" s="25" t="n">
        <f aca="false">'Source Data'!B$19</f>
        <v>755</v>
      </c>
      <c r="C7" s="25" t="n">
        <f aca="false">'Source Data'!C$19</f>
        <v>925</v>
      </c>
      <c r="D7" s="25" t="n">
        <f aca="false">'Source Data'!D$19</f>
        <v>1175</v>
      </c>
      <c r="E7" s="25" t="n">
        <f aca="false">'Source Data'!E$19</f>
        <v>1508</v>
      </c>
      <c r="F7" s="25" t="n">
        <f aca="false">'Source Data'!F$19</f>
        <v>1918</v>
      </c>
      <c r="G7" s="29" t="n">
        <f aca="false">'Balance Sheet'!F$11*Assumptions!G$17</f>
        <v>1971.2</v>
      </c>
      <c r="H7" s="29" t="n">
        <f aca="false">'Balance Sheet'!G$11*Assumptions!H$17</f>
        <v>2340.45504</v>
      </c>
      <c r="I7" s="29" t="n">
        <f aca="false">'Balance Sheet'!H$11*Assumptions!I$17</f>
        <v>2570.9612544</v>
      </c>
      <c r="J7" s="29" t="n">
        <f aca="false">'Balance Sheet'!I$11*Assumptions!J$17</f>
        <v>2699.047080576</v>
      </c>
      <c r="K7" s="29" t="n">
        <f aca="false">'Balance Sheet'!J$11*Assumptions!K$17</f>
        <v>2762.7647515776</v>
      </c>
      <c r="M7" s="18" t="s">
        <v>178</v>
      </c>
    </row>
    <row r="8" customFormat="false" ht="43.25" hidden="false" customHeight="false" outlineLevel="0" collapsed="false">
      <c r="A8" s="14" t="s">
        <v>179</v>
      </c>
      <c r="B8" s="38" t="n">
        <f aca="false">'Source Data'!B$21-B6-B7-(B9+B10+B11)</f>
        <v>318</v>
      </c>
      <c r="C8" s="38" t="n">
        <f aca="false">'Source Data'!C$21-C6-C7-(C9+C10+C11)</f>
        <v>-193</v>
      </c>
      <c r="D8" s="38" t="n">
        <f aca="false">'Source Data'!D$21-D6-D7-(D9+D10+D11)</f>
        <v>-82</v>
      </c>
      <c r="E8" s="38" t="n">
        <f aca="false">'Source Data'!E$21-E6-E7-(E9+E10+E11)</f>
        <v>453</v>
      </c>
      <c r="F8" s="38" t="n">
        <f aca="false">'Source Data'!F$21-F6-F7-(F9+F10+F11)</f>
        <v>819</v>
      </c>
      <c r="G8" s="29" t="n">
        <f aca="false">'Income Statement'!G$6*Assumptions!G$22</f>
        <v>389.004</v>
      </c>
      <c r="H8" s="29" t="n">
        <f aca="false">'Income Statement'!H$6*Assumptions!H$22</f>
        <v>420.12432</v>
      </c>
      <c r="I8" s="29" t="n">
        <f aca="false">'Income Statement'!I$6*Assumptions!I$22</f>
        <v>449.5330224</v>
      </c>
      <c r="J8" s="29" t="n">
        <f aca="false">'Income Statement'!J$6*Assumptions!J$22</f>
        <v>476.505003744</v>
      </c>
      <c r="K8" s="29" t="n">
        <f aca="false">'Income Statement'!K$6*Assumptions!K$22</f>
        <v>500.3302539312</v>
      </c>
      <c r="M8" s="18" t="s">
        <v>180</v>
      </c>
    </row>
    <row r="9" customFormat="false" ht="15" hidden="false" customHeight="false" outlineLevel="0" collapsed="false">
      <c r="A9" s="14" t="s">
        <v>181</v>
      </c>
      <c r="B9" s="25" t="n">
        <f aca="false">-('Balance Sheet'!B$8-'Source Data'!$B$39)</f>
        <v>-287</v>
      </c>
      <c r="C9" s="29" t="n">
        <f aca="false">-('Balance Sheet'!C$8-'Balance Sheet'!B$8)</f>
        <v>-194</v>
      </c>
      <c r="D9" s="29" t="n">
        <f aca="false">-('Balance Sheet'!D$8-'Balance Sheet'!C$8)</f>
        <v>108</v>
      </c>
      <c r="E9" s="29" t="n">
        <f aca="false">-('Balance Sheet'!E$8-'Balance Sheet'!D$8)</f>
        <v>68</v>
      </c>
      <c r="F9" s="29" t="n">
        <f aca="false">-('Balance Sheet'!F$8-'Balance Sheet'!E$8)</f>
        <v>-244</v>
      </c>
      <c r="G9" s="29" t="n">
        <f aca="false">-('Balance Sheet'!G$8-'Balance Sheet'!F$8)</f>
        <v>-168.528767123288</v>
      </c>
      <c r="H9" s="29" t="n">
        <f aca="false">-('Balance Sheet'!H$8-'Balance Sheet'!G$8)</f>
        <v>-170.522301369863</v>
      </c>
      <c r="I9" s="29" t="n">
        <f aca="false">-('Balance Sheet'!I$8-'Balance Sheet'!H$8)</f>
        <v>-161.143574794521</v>
      </c>
      <c r="J9" s="29" t="n">
        <f aca="false">-('Balance Sheet'!J$8-'Balance Sheet'!I$8)</f>
        <v>-147.791678597261</v>
      </c>
      <c r="K9" s="29" t="n">
        <f aca="false">-('Balance Sheet'!K$8-'Balance Sheet'!J$8)</f>
        <v>-130.549316094246</v>
      </c>
    </row>
    <row r="10" customFormat="false" ht="15" hidden="false" customHeight="false" outlineLevel="0" collapsed="false">
      <c r="A10" s="14" t="s">
        <v>182</v>
      </c>
      <c r="B10" s="25" t="n">
        <f aca="false">-('Balance Sheet'!B$9-'Source Data'!$B$40)</f>
        <v>45</v>
      </c>
      <c r="C10" s="29" t="n">
        <f aca="false">-('Balance Sheet'!C$9-'Balance Sheet'!B$9)</f>
        <v>-847</v>
      </c>
      <c r="D10" s="29" t="n">
        <f aca="false">-('Balance Sheet'!D$9-'Balance Sheet'!C$9)</f>
        <v>-1242</v>
      </c>
      <c r="E10" s="29" t="n">
        <f aca="false">-('Balance Sheet'!E$9-'Balance Sheet'!D$9)</f>
        <v>-528</v>
      </c>
      <c r="F10" s="29" t="n">
        <f aca="false">-('Balance Sheet'!F$9-'Balance Sheet'!E$9)</f>
        <v>-277</v>
      </c>
      <c r="G10" s="29" t="n">
        <f aca="false">-('Balance Sheet'!G$9-'Balance Sheet'!F$9)</f>
        <v>-119.831452054795</v>
      </c>
      <c r="H10" s="29" t="n">
        <f aca="false">-('Balance Sheet'!H$9-'Balance Sheet'!G$9)</f>
        <v>89.524208219179</v>
      </c>
      <c r="I10" s="29" t="n">
        <f aca="false">-('Balance Sheet'!I$9-'Balance Sheet'!H$9)</f>
        <v>31.0776894246565</v>
      </c>
      <c r="J10" s="29" t="n">
        <f aca="false">-('Balance Sheet'!J$9-'Balance Sheet'!I$9)</f>
        <v>-97.2653984768222</v>
      </c>
      <c r="K10" s="29" t="n">
        <f aca="false">-('Balance Sheet'!K$9-'Balance Sheet'!J$9)</f>
        <v>-47.9768736646347</v>
      </c>
    </row>
    <row r="11" customFormat="false" ht="15" hidden="false" customHeight="false" outlineLevel="0" collapsed="false">
      <c r="A11" s="14" t="s">
        <v>183</v>
      </c>
      <c r="B11" s="25" t="n">
        <f aca="false">'Balance Sheet'!B$15-'Source Data'!$B$41</f>
        <v>156</v>
      </c>
      <c r="C11" s="29" t="n">
        <f aca="false">'Balance Sheet'!C$15-'Balance Sheet'!B$15</f>
        <v>280</v>
      </c>
      <c r="D11" s="29" t="n">
        <f aca="false">'Balance Sheet'!D$15-'Balance Sheet'!C$15</f>
        <v>-49</v>
      </c>
      <c r="E11" s="29" t="n">
        <f aca="false">'Balance Sheet'!E$15-'Balance Sheet'!D$15</f>
        <v>18</v>
      </c>
      <c r="F11" s="29" t="n">
        <f aca="false">'Balance Sheet'!F$15-'Balance Sheet'!E$15</f>
        <v>-64</v>
      </c>
      <c r="G11" s="29" t="n">
        <f aca="false">'Balance Sheet'!G$15-'Balance Sheet'!F$15</f>
        <v>94.4799780821919</v>
      </c>
      <c r="H11" s="29" t="n">
        <f aca="false">'Balance Sheet'!H$15-'Balance Sheet'!G$15</f>
        <v>24.2994279452054</v>
      </c>
      <c r="I11" s="29" t="n">
        <f aca="false">'Balance Sheet'!I$15-'Balance Sheet'!H$15</f>
        <v>37.8342093106851</v>
      </c>
      <c r="J11" s="29" t="n">
        <f aca="false">'Balance Sheet'!J$15-'Balance Sheet'!I$15</f>
        <v>42.3546318913315</v>
      </c>
      <c r="K11" s="29" t="n">
        <f aca="false">'Balance Sheet'!K$15-'Balance Sheet'!J$15</f>
        <v>34.7261180810696</v>
      </c>
    </row>
    <row r="12" customFormat="false" ht="15" hidden="false" customHeight="false" outlineLevel="0" collapsed="false">
      <c r="A12" s="5" t="s">
        <v>184</v>
      </c>
      <c r="B12" s="31" t="n">
        <f aca="false">SUM(B6:B11)</f>
        <v>8756</v>
      </c>
      <c r="C12" s="31" t="n">
        <f aca="false">SUM(C6:C11)</f>
        <v>8720</v>
      </c>
      <c r="D12" s="31" t="n">
        <f aca="false">SUM(D6:D11)</f>
        <v>6420</v>
      </c>
      <c r="E12" s="31" t="n">
        <f aca="false">SUM(E6:E11)</f>
        <v>6318</v>
      </c>
      <c r="F12" s="31" t="n">
        <f aca="false">SUM(F6:F11)</f>
        <v>7153</v>
      </c>
      <c r="G12" s="31" t="n">
        <f aca="false">SUM(G6:G11)</f>
        <v>8016.04375890411</v>
      </c>
      <c r="H12" s="31" t="n">
        <f aca="false">SUM(H6:H11)</f>
        <v>9498.74926105425</v>
      </c>
      <c r="I12" s="31" t="n">
        <f aca="false">SUM(I6:I11)</f>
        <v>10563.5763230429</v>
      </c>
      <c r="J12" s="31" t="n">
        <f aca="false">SUM(J6:J11)</f>
        <v>11336.9395077919</v>
      </c>
      <c r="K12" s="31" t="n">
        <f aca="false">SUM(K6:K11)</f>
        <v>12177.3385824564</v>
      </c>
    </row>
    <row r="13" customFormat="false" ht="15" hidden="false" customHeight="false" outlineLevel="0" collapsed="false">
      <c r="A13" s="12" t="s">
        <v>185</v>
      </c>
      <c r="B13" s="13"/>
      <c r="C13" s="13"/>
      <c r="D13" s="13"/>
      <c r="E13" s="13"/>
      <c r="F13" s="13"/>
      <c r="G13" s="13"/>
      <c r="H13" s="13"/>
      <c r="I13" s="13"/>
      <c r="J13" s="13"/>
      <c r="K13" s="13"/>
      <c r="L13" s="13"/>
      <c r="M13" s="13"/>
    </row>
    <row r="14" customFormat="false" ht="15" hidden="false" customHeight="false" outlineLevel="0" collapsed="false">
      <c r="A14" s="14" t="s">
        <v>186</v>
      </c>
      <c r="B14" s="25" t="n">
        <f aca="false">-'Source Data'!B$20</f>
        <v>-2462</v>
      </c>
      <c r="C14" s="25" t="n">
        <f aca="false">-'Source Data'!C$20</f>
        <v>-2797</v>
      </c>
      <c r="D14" s="25" t="n">
        <f aca="false">-'Source Data'!D$20</f>
        <v>-5071</v>
      </c>
      <c r="E14" s="25" t="n">
        <f aca="false">-'Source Data'!E$20</f>
        <v>-4820</v>
      </c>
      <c r="F14" s="25" t="n">
        <f aca="false">-'Source Data'!F$20</f>
        <v>-4550</v>
      </c>
      <c r="G14" s="29" t="n">
        <f aca="false">-'Income Statement'!G$6*Assumptions!G$16</f>
        <v>-4279.044</v>
      </c>
      <c r="H14" s="29" t="n">
        <f aca="false">-'Income Statement'!H$6*Assumptions!H$16</f>
        <v>-3781.11888</v>
      </c>
      <c r="I14" s="29" t="n">
        <f aca="false">-'Income Statement'!I$6*Assumptions!I$16</f>
        <v>-3371.497668</v>
      </c>
      <c r="J14" s="29" t="n">
        <f aca="false">-'Income Statement'!J$6*Assumptions!J$16</f>
        <v>-3097.282524336</v>
      </c>
      <c r="K14" s="29" t="n">
        <f aca="false">-'Income Statement'!K$6*Assumptions!K$16</f>
        <v>-3001.9815235872</v>
      </c>
    </row>
    <row r="15" customFormat="false" ht="74.6" hidden="false" customHeight="false" outlineLevel="0" collapsed="false">
      <c r="A15" s="14" t="s">
        <v>187</v>
      </c>
      <c r="B15" s="38" t="n">
        <f aca="false">('Balance Sheet'!B$6-'Source Data'!$B$38)-B12-B14-B20</f>
        <v>-1772</v>
      </c>
      <c r="C15" s="38" t="n">
        <f aca="false">('Balance Sheet'!C$6-'Balance Sheet'!B$6)-C12-C14-C20</f>
        <v>-1186</v>
      </c>
      <c r="D15" s="38" t="n">
        <f aca="false">('Balance Sheet'!D$6-'Balance Sheet'!C$6)-D12-D14-D20</f>
        <v>185</v>
      </c>
      <c r="E15" s="38" t="n">
        <f aca="false">('Balance Sheet'!E$6-'Balance Sheet'!D$6)-E12-E14-E20</f>
        <v>1611</v>
      </c>
      <c r="F15" s="38" t="n">
        <f aca="false">('Balance Sheet'!F$6-'Balance Sheet'!E$6)-F12-F14-F20</f>
        <v>3420</v>
      </c>
      <c r="G15" s="29" t="n">
        <v>0</v>
      </c>
      <c r="H15" s="29" t="n">
        <v>0</v>
      </c>
      <c r="I15" s="29" t="n">
        <v>0</v>
      </c>
      <c r="J15" s="29" t="n">
        <v>0</v>
      </c>
      <c r="K15" s="29" t="n">
        <v>0</v>
      </c>
      <c r="M15" s="18" t="s">
        <v>188</v>
      </c>
    </row>
    <row r="16" customFormat="false" ht="15" hidden="false" customHeight="false" outlineLevel="0" collapsed="false">
      <c r="A16" s="5" t="s">
        <v>189</v>
      </c>
      <c r="B16" s="31" t="n">
        <f aca="false">B14+B15</f>
        <v>-4234</v>
      </c>
      <c r="C16" s="31" t="n">
        <f aca="false">C14+C15</f>
        <v>-3983</v>
      </c>
      <c r="D16" s="31" t="n">
        <f aca="false">D14+D15</f>
        <v>-4886</v>
      </c>
      <c r="E16" s="31" t="n">
        <f aca="false">E14+E15</f>
        <v>-3209</v>
      </c>
      <c r="F16" s="31" t="n">
        <f aca="false">F14+F15</f>
        <v>-1130</v>
      </c>
      <c r="G16" s="31" t="n">
        <f aca="false">G14+G15</f>
        <v>-4279.044</v>
      </c>
      <c r="H16" s="31" t="n">
        <f aca="false">H14+H15</f>
        <v>-3781.11888</v>
      </c>
      <c r="I16" s="31" t="n">
        <f aca="false">I14+I15</f>
        <v>-3371.497668</v>
      </c>
      <c r="J16" s="31" t="n">
        <f aca="false">J14+J15</f>
        <v>-3097.282524336</v>
      </c>
      <c r="K16" s="31" t="n">
        <f aca="false">K14+K15</f>
        <v>-3001.9815235872</v>
      </c>
    </row>
    <row r="17" customFormat="false" ht="15" hidden="false" customHeight="false" outlineLevel="0" collapsed="false">
      <c r="A17" s="12" t="s">
        <v>190</v>
      </c>
      <c r="B17" s="13"/>
      <c r="C17" s="13"/>
      <c r="D17" s="13"/>
      <c r="E17" s="13"/>
      <c r="F17" s="13"/>
      <c r="G17" s="13"/>
      <c r="H17" s="13"/>
      <c r="I17" s="13"/>
      <c r="J17" s="13"/>
      <c r="K17" s="13"/>
      <c r="L17" s="13"/>
      <c r="M17" s="13"/>
    </row>
    <row r="18" customFormat="false" ht="15" hidden="false" customHeight="false" outlineLevel="0" collapsed="false">
      <c r="A18" s="14" t="s">
        <v>191</v>
      </c>
      <c r="B18" s="25" t="n">
        <f aca="false">'Balance Sheet'!B$27-('Source Data'!$B$43+'Source Data'!$B$44)</f>
        <v>943</v>
      </c>
      <c r="C18" s="29" t="n">
        <f aca="false">'Balance Sheet'!C$27-'Balance Sheet'!B$27</f>
        <v>994</v>
      </c>
      <c r="D18" s="29" t="n">
        <f aca="false">'Balance Sheet'!D$27-'Balance Sheet'!C$27</f>
        <v>2488</v>
      </c>
      <c r="E18" s="29" t="n">
        <f aca="false">'Balance Sheet'!E$27-'Balance Sheet'!D$27</f>
        <v>2373</v>
      </c>
      <c r="F18" s="29" t="n">
        <f aca="false">'Balance Sheet'!F$27-'Balance Sheet'!E$27</f>
        <v>452</v>
      </c>
      <c r="G18" s="29" t="n">
        <f aca="false">'Balance Sheet'!G$27-'Balance Sheet'!F$27</f>
        <v>0</v>
      </c>
      <c r="H18" s="29" t="n">
        <f aca="false">'Balance Sheet'!H$27-'Balance Sheet'!G$27</f>
        <v>0</v>
      </c>
      <c r="I18" s="29" t="n">
        <f aca="false">'Balance Sheet'!I$27-'Balance Sheet'!H$27</f>
        <v>0</v>
      </c>
      <c r="J18" s="29" t="n">
        <f aca="false">'Balance Sheet'!J$27-'Balance Sheet'!I$27</f>
        <v>0</v>
      </c>
      <c r="K18" s="29" t="n">
        <f aca="false">'Balance Sheet'!K$27-'Balance Sheet'!J$27</f>
        <v>0</v>
      </c>
    </row>
    <row r="19" customFormat="false" ht="53.7" hidden="false" customHeight="false" outlineLevel="0" collapsed="false">
      <c r="A19" s="14" t="s">
        <v>192</v>
      </c>
      <c r="B19" s="29" t="n">
        <f aca="false">-Assumptions!B$25</f>
        <v>-3941</v>
      </c>
      <c r="C19" s="29" t="n">
        <f aca="false">-Assumptions!C$25</f>
        <v>-7312</v>
      </c>
      <c r="D19" s="29" t="n">
        <f aca="false">-Assumptions!D$25</f>
        <v>-4108</v>
      </c>
      <c r="E19" s="29" t="n">
        <f aca="false">-Assumptions!E$25</f>
        <v>-5246</v>
      </c>
      <c r="F19" s="29" t="n">
        <f aca="false">-Assumptions!F$25</f>
        <v>-6450</v>
      </c>
      <c r="G19" s="29" t="n">
        <f aca="false">-Assumptions!G$25</f>
        <v>-5900</v>
      </c>
      <c r="H19" s="29" t="n">
        <f aca="false">-Assumptions!H$25</f>
        <v>-6136</v>
      </c>
      <c r="I19" s="29" t="n">
        <f aca="false">-Assumptions!I$25</f>
        <v>-6381.44</v>
      </c>
      <c r="J19" s="29" t="n">
        <f aca="false">-Assumptions!J$25</f>
        <v>-6636.6976</v>
      </c>
      <c r="K19" s="29" t="n">
        <f aca="false">-Assumptions!K$25</f>
        <v>-6902.165504</v>
      </c>
      <c r="M19" s="18" t="s">
        <v>193</v>
      </c>
    </row>
    <row r="20" customFormat="false" ht="15" hidden="false" customHeight="false" outlineLevel="0" collapsed="false">
      <c r="A20" s="5" t="s">
        <v>194</v>
      </c>
      <c r="B20" s="31" t="n">
        <f aca="false">B18+B19</f>
        <v>-2998</v>
      </c>
      <c r="C20" s="31" t="n">
        <f aca="false">C18+C19</f>
        <v>-6318</v>
      </c>
      <c r="D20" s="31" t="n">
        <f aca="false">D18+D19</f>
        <v>-1620</v>
      </c>
      <c r="E20" s="31" t="n">
        <f aca="false">E18+E19</f>
        <v>-2873</v>
      </c>
      <c r="F20" s="31" t="n">
        <f aca="false">F18+F19</f>
        <v>-5998</v>
      </c>
      <c r="G20" s="31" t="n">
        <f aca="false">G18+G19</f>
        <v>-5900</v>
      </c>
      <c r="H20" s="31" t="n">
        <f aca="false">H18+H19</f>
        <v>-6136</v>
      </c>
      <c r="I20" s="31" t="n">
        <f aca="false">I18+I19</f>
        <v>-6381.44</v>
      </c>
      <c r="J20" s="31" t="n">
        <f aca="false">J18+J19</f>
        <v>-6636.6976</v>
      </c>
      <c r="K20" s="31" t="n">
        <f aca="false">K18+K19</f>
        <v>-6902.165504</v>
      </c>
    </row>
    <row r="21" customFormat="false" ht="15" hidden="false" customHeight="false" outlineLevel="0" collapsed="false">
      <c r="A21" s="12" t="s">
        <v>195</v>
      </c>
      <c r="B21" s="13"/>
      <c r="C21" s="13"/>
      <c r="D21" s="13"/>
      <c r="E21" s="13"/>
      <c r="F21" s="13"/>
      <c r="G21" s="13"/>
      <c r="H21" s="13"/>
      <c r="I21" s="13"/>
      <c r="J21" s="13"/>
      <c r="K21" s="13"/>
      <c r="L21" s="13"/>
      <c r="M21" s="13"/>
    </row>
    <row r="22" customFormat="false" ht="15" hidden="false" customHeight="false" outlineLevel="0" collapsed="false">
      <c r="A22" s="5" t="s">
        <v>196</v>
      </c>
      <c r="B22" s="36" t="n">
        <f aca="false">B12+B16+B20</f>
        <v>1524</v>
      </c>
      <c r="C22" s="36" t="n">
        <f aca="false">C12+C16+C20</f>
        <v>-1581</v>
      </c>
      <c r="D22" s="36" t="n">
        <f aca="false">D12+D16+D20</f>
        <v>-86</v>
      </c>
      <c r="E22" s="36" t="n">
        <f aca="false">E12+E16+E20</f>
        <v>236</v>
      </c>
      <c r="F22" s="36" t="n">
        <f aca="false">F12+F16+F20</f>
        <v>25</v>
      </c>
      <c r="G22" s="36" t="n">
        <f aca="false">G12+G16+G20</f>
        <v>-2163.00024109589</v>
      </c>
      <c r="H22" s="36" t="n">
        <f aca="false">H12+H16+H20</f>
        <v>-418.369618945751</v>
      </c>
      <c r="I22" s="36" t="n">
        <f aca="false">I12+I16+I20</f>
        <v>810.638655042947</v>
      </c>
      <c r="J22" s="36" t="n">
        <f aca="false">J12+J16+J20</f>
        <v>1602.95938345587</v>
      </c>
      <c r="K22" s="36" t="n">
        <f aca="false">K12+K16+K20</f>
        <v>2273.19155486917</v>
      </c>
    </row>
    <row r="23" customFormat="false" ht="15" hidden="false" customHeight="false" outlineLevel="0" collapsed="false">
      <c r="A23" s="14" t="s">
        <v>197</v>
      </c>
      <c r="B23" s="25" t="n">
        <f aca="false">'Source Data'!$B$38</f>
        <v>3107</v>
      </c>
      <c r="C23" s="29" t="n">
        <f aca="false">'Balance Sheet'!B$6</f>
        <v>4631</v>
      </c>
      <c r="D23" s="29" t="n">
        <f aca="false">'Balance Sheet'!C$6</f>
        <v>3050</v>
      </c>
      <c r="E23" s="29" t="n">
        <f aca="false">'Balance Sheet'!D$6</f>
        <v>2964</v>
      </c>
      <c r="F23" s="29" t="n">
        <f aca="false">'Balance Sheet'!E$6</f>
        <v>3200</v>
      </c>
      <c r="G23" s="29" t="n">
        <f aca="false">'Balance Sheet'!$F$6</f>
        <v>3225</v>
      </c>
      <c r="H23" s="29" t="n">
        <f aca="false">'Balance Sheet'!G$6</f>
        <v>1061.99975890411</v>
      </c>
      <c r="I23" s="29" t="n">
        <f aca="false">'Balance Sheet'!H$6</f>
        <v>643.630139958359</v>
      </c>
      <c r="J23" s="29" t="n">
        <f aca="false">'Balance Sheet'!I$6</f>
        <v>1454.26879500131</v>
      </c>
      <c r="K23" s="29" t="n">
        <f aca="false">'Balance Sheet'!J$6</f>
        <v>3057.22817845717</v>
      </c>
    </row>
    <row r="24" customFormat="false" ht="15" hidden="false" customHeight="false" outlineLevel="0" collapsed="false">
      <c r="A24" s="5" t="s">
        <v>198</v>
      </c>
      <c r="B24" s="32" t="n">
        <f aca="false">B23+B22</f>
        <v>4631</v>
      </c>
      <c r="C24" s="32" t="n">
        <f aca="false">C23+C22</f>
        <v>3050</v>
      </c>
      <c r="D24" s="32" t="n">
        <f aca="false">D23+D22</f>
        <v>2964</v>
      </c>
      <c r="E24" s="32" t="n">
        <f aca="false">E23+E22</f>
        <v>3200</v>
      </c>
      <c r="F24" s="32" t="n">
        <f aca="false">F23+F22</f>
        <v>3225</v>
      </c>
      <c r="G24" s="32" t="n">
        <f aca="false">G23+G22</f>
        <v>1061.99975890411</v>
      </c>
      <c r="H24" s="32" t="n">
        <f aca="false">H23+H22</f>
        <v>643.630139958359</v>
      </c>
      <c r="I24" s="32" t="n">
        <f aca="false">I23+I22</f>
        <v>1454.26879500131</v>
      </c>
      <c r="J24" s="32" t="n">
        <f aca="false">J23+J22</f>
        <v>3057.22817845717</v>
      </c>
      <c r="K24" s="32" t="n">
        <f aca="false">K23+K22</f>
        <v>5330.41973332634</v>
      </c>
    </row>
    <row r="25" customFormat="false" ht="15" hidden="false" customHeight="false" outlineLevel="0" collapsed="false">
      <c r="A25" s="12" t="s">
        <v>139</v>
      </c>
      <c r="B25" s="13"/>
      <c r="C25" s="13"/>
      <c r="D25" s="13"/>
      <c r="E25" s="13"/>
      <c r="F25" s="13"/>
      <c r="G25" s="13"/>
      <c r="H25" s="13"/>
      <c r="I25" s="13"/>
      <c r="J25" s="13"/>
      <c r="K25" s="13"/>
      <c r="L25" s="13"/>
      <c r="M25" s="13"/>
    </row>
    <row r="26" customFormat="false" ht="15" hidden="false" customHeight="false" outlineLevel="0" collapsed="false">
      <c r="A26" s="14" t="s">
        <v>199</v>
      </c>
      <c r="B26" s="29" t="n">
        <f aca="false">B12+B14</f>
        <v>6294</v>
      </c>
      <c r="C26" s="29" t="n">
        <f aca="false">C12+C14</f>
        <v>5923</v>
      </c>
      <c r="D26" s="29" t="n">
        <f aca="false">D12+D14</f>
        <v>1349</v>
      </c>
      <c r="E26" s="29" t="n">
        <f aca="false">E12+E14</f>
        <v>1498</v>
      </c>
      <c r="F26" s="29" t="n">
        <f aca="false">F12+F14</f>
        <v>2603</v>
      </c>
      <c r="G26" s="29" t="n">
        <f aca="false">G12+G14</f>
        <v>3736.99975890411</v>
      </c>
      <c r="H26" s="29" t="n">
        <f aca="false">H12+H14</f>
        <v>5717.63038105425</v>
      </c>
      <c r="I26" s="29" t="n">
        <f aca="false">I12+I14</f>
        <v>7192.07865504295</v>
      </c>
      <c r="J26" s="29" t="n">
        <f aca="false">J12+J14</f>
        <v>8239.65698345587</v>
      </c>
      <c r="K26" s="29" t="n">
        <f aca="false">K12+K14</f>
        <v>9175.35705886917</v>
      </c>
    </row>
    <row r="27" customFormat="false" ht="15" hidden="false" customHeight="false" outlineLevel="0" collapsed="false">
      <c r="A27" s="14" t="s">
        <v>200</v>
      </c>
      <c r="B27" s="30" t="n">
        <f aca="false">B26/'Income Statement'!B$6</f>
        <v>0.343109463584823</v>
      </c>
      <c r="C27" s="30" t="n">
        <f aca="false">C26/'Income Statement'!C$6</f>
        <v>0.295735969642501</v>
      </c>
      <c r="D27" s="30" t="n">
        <f aca="false">D26/'Income Statement'!D$6</f>
        <v>0.0770021119926937</v>
      </c>
      <c r="E27" s="30" t="n">
        <f aca="false">E26/'Income Statement'!E$6</f>
        <v>0.0957739274982418</v>
      </c>
      <c r="F27" s="30" t="n">
        <f aca="false">F26/'Income Statement'!F$6</f>
        <v>0.147211853862685</v>
      </c>
      <c r="G27" s="30" t="n">
        <f aca="false">G26/'Income Statement'!G$6</f>
        <v>0.192131688049692</v>
      </c>
      <c r="H27" s="30" t="n">
        <f aca="false">H26/'Income Statement'!H$6</f>
        <v>0.272187545869958</v>
      </c>
      <c r="I27" s="30" t="n">
        <f aca="false">I26/'Income Statement'!I$6</f>
        <v>0.319979992421707</v>
      </c>
      <c r="J27" s="30" t="n">
        <f aca="false">J26/'Income Statement'!J$6</f>
        <v>0.345837165138462</v>
      </c>
      <c r="K27" s="30" t="n">
        <f aca="false">K26/'Income Statement'!K$6</f>
        <v>0.366772026547524</v>
      </c>
    </row>
    <row r="28" customFormat="false" ht="43.25" hidden="false" customHeight="false" outlineLevel="0" collapsed="false">
      <c r="A28" s="14" t="s">
        <v>201</v>
      </c>
      <c r="B28" s="29" t="n">
        <f aca="false">B26+B19</f>
        <v>2353</v>
      </c>
      <c r="C28" s="29" t="n">
        <f aca="false">C26+C19</f>
        <v>-1389</v>
      </c>
      <c r="D28" s="29" t="n">
        <f aca="false">D26+D19</f>
        <v>-2759</v>
      </c>
      <c r="E28" s="29" t="n">
        <f aca="false">E26+E19</f>
        <v>-3748</v>
      </c>
      <c r="F28" s="29" t="n">
        <f aca="false">F26+F19</f>
        <v>-3847</v>
      </c>
      <c r="G28" s="29" t="n">
        <f aca="false">G26+G19</f>
        <v>-2163.00024109589</v>
      </c>
      <c r="H28" s="29" t="n">
        <f aca="false">H26+H19</f>
        <v>-418.369618945751</v>
      </c>
      <c r="I28" s="29" t="n">
        <f aca="false">I26+I19</f>
        <v>810.638655042947</v>
      </c>
      <c r="J28" s="29" t="n">
        <f aca="false">J26+J19</f>
        <v>1602.95938345587</v>
      </c>
      <c r="K28" s="29" t="n">
        <f aca="false">K26+K19</f>
        <v>2273.19155486917</v>
      </c>
      <c r="M28" s="18" t="s">
        <v>202</v>
      </c>
    </row>
    <row r="29" customFormat="false" ht="15" hidden="false" customHeight="false" outlineLevel="0" collapsed="false">
      <c r="A29" s="14" t="s">
        <v>203</v>
      </c>
      <c r="B29" s="25" t="n">
        <f aca="false">'Source Data'!B$21</f>
        <v>8756</v>
      </c>
      <c r="C29" s="25" t="n">
        <f aca="false">'Source Data'!C$21</f>
        <v>8720</v>
      </c>
      <c r="D29" s="25" t="n">
        <f aca="false">'Source Data'!D$21</f>
        <v>6420</v>
      </c>
      <c r="E29" s="25" t="n">
        <f aca="false">'Source Data'!E$21</f>
        <v>6318</v>
      </c>
      <c r="F29" s="25" t="n">
        <f aca="false">'Source Data'!F$21</f>
        <v>7153</v>
      </c>
      <c r="G29" s="15" t="s">
        <v>63</v>
      </c>
      <c r="H29" s="15" t="s">
        <v>63</v>
      </c>
      <c r="I29" s="15" t="s">
        <v>63</v>
      </c>
      <c r="J29" s="15" t="s">
        <v>63</v>
      </c>
      <c r="K29" s="15"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M7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6" min="2" style="1" width="13"/>
    <col collapsed="false" customWidth="true" hidden="false" outlineLevel="0" max="11" min="7" style="1" width="12.5"/>
    <col collapsed="false" customWidth="true" hidden="false" outlineLevel="0" max="12" min="12" style="1" width="4"/>
    <col collapsed="false" customWidth="true" hidden="false" outlineLevel="0" max="13" min="13" style="1" width="46"/>
    <col collapsed="false" customWidth="true" hidden="false" outlineLevel="0" max="15" min="14" style="1" width="30"/>
  </cols>
  <sheetData>
    <row r="1" customFormat="false" ht="17.35" hidden="false" customHeight="false" outlineLevel="0" collapsed="false">
      <c r="A1" s="7" t="s">
        <v>204</v>
      </c>
    </row>
    <row r="2" customFormat="false" ht="15" hidden="false" customHeight="false" outlineLevel="0" collapsed="false">
      <c r="A2" s="8" t="s">
        <v>205</v>
      </c>
    </row>
    <row r="4" customFormat="false" ht="15" hidden="false" customHeight="false" outlineLevel="0" collapsed="false">
      <c r="A4" s="12" t="s">
        <v>206</v>
      </c>
      <c r="B4" s="13"/>
      <c r="C4" s="13"/>
      <c r="D4" s="13"/>
      <c r="E4" s="13"/>
      <c r="F4" s="13"/>
      <c r="G4" s="13"/>
      <c r="H4" s="13"/>
      <c r="I4" s="13"/>
      <c r="J4" s="13"/>
      <c r="K4" s="13"/>
      <c r="L4" s="13"/>
      <c r="M4" s="13"/>
    </row>
    <row r="5" customFormat="false" ht="15" hidden="false" customHeight="false" outlineLevel="0" collapsed="false">
      <c r="A5" s="14" t="s">
        <v>207</v>
      </c>
      <c r="B5" s="39" t="n">
        <v>0.043</v>
      </c>
      <c r="M5" s="18" t="s">
        <v>208</v>
      </c>
    </row>
    <row r="6" customFormat="false" ht="15" hidden="false" customHeight="false" outlineLevel="0" collapsed="false">
      <c r="A6" s="14" t="s">
        <v>209</v>
      </c>
      <c r="B6" s="39" t="n">
        <v>0.05</v>
      </c>
      <c r="M6" s="18" t="s">
        <v>210</v>
      </c>
    </row>
    <row r="7" customFormat="false" ht="15" hidden="false" customHeight="false" outlineLevel="0" collapsed="false">
      <c r="A7" s="14" t="s">
        <v>211</v>
      </c>
      <c r="B7" s="40" t="n">
        <v>1.05</v>
      </c>
      <c r="M7" s="18" t="s">
        <v>212</v>
      </c>
    </row>
    <row r="8" customFormat="false" ht="15" hidden="false" customHeight="false" outlineLevel="0" collapsed="false">
      <c r="A8" s="5" t="s">
        <v>213</v>
      </c>
      <c r="B8" s="41" t="n">
        <f aca="false">B5+B7*B6</f>
        <v>0.0955</v>
      </c>
    </row>
    <row r="9" customFormat="false" ht="22.35" hidden="false" customHeight="false" outlineLevel="0" collapsed="false">
      <c r="A9" s="14" t="s">
        <v>214</v>
      </c>
      <c r="B9" s="39" t="n">
        <v>0.05</v>
      </c>
      <c r="M9" s="18" t="s">
        <v>215</v>
      </c>
    </row>
    <row r="10" customFormat="false" ht="22.35" hidden="false" customHeight="false" outlineLevel="0" collapsed="false">
      <c r="A10" s="14" t="s">
        <v>216</v>
      </c>
      <c r="B10" s="16" t="n">
        <f aca="false">Assumptions!$G$11</f>
        <v>0.14</v>
      </c>
      <c r="M10" s="18" t="s">
        <v>217</v>
      </c>
    </row>
    <row r="11" customFormat="false" ht="22.35" hidden="false" customHeight="false" outlineLevel="0" collapsed="false">
      <c r="A11" s="5" t="s">
        <v>218</v>
      </c>
      <c r="B11" s="41" t="n">
        <f aca="false">B9*(1-B10)</f>
        <v>0.043</v>
      </c>
      <c r="M11" s="18" t="s">
        <v>219</v>
      </c>
    </row>
    <row r="12" customFormat="false" ht="22.35" hidden="false" customHeight="false" outlineLevel="0" collapsed="false">
      <c r="A12" s="14" t="s">
        <v>220</v>
      </c>
      <c r="B12" s="39" t="n">
        <v>0.9</v>
      </c>
      <c r="M12" s="18" t="s">
        <v>221</v>
      </c>
    </row>
    <row r="13" customFormat="false" ht="15" hidden="false" customHeight="false" outlineLevel="0" collapsed="false">
      <c r="A13" s="14" t="s">
        <v>222</v>
      </c>
      <c r="B13" s="30" t="n">
        <f aca="false">1-B12</f>
        <v>0.1</v>
      </c>
    </row>
    <row r="14" customFormat="false" ht="15" hidden="false" customHeight="false" outlineLevel="0" collapsed="false">
      <c r="A14" s="5" t="s">
        <v>223</v>
      </c>
      <c r="B14" s="42" t="n">
        <f aca="false">B12*B8+B13*B11</f>
        <v>0.09025</v>
      </c>
    </row>
    <row r="16" customFormat="false" ht="15" hidden="false" customHeight="false" outlineLevel="0" collapsed="false">
      <c r="A16" s="12" t="s">
        <v>224</v>
      </c>
      <c r="B16" s="13"/>
      <c r="C16" s="13"/>
      <c r="D16" s="13"/>
      <c r="E16" s="13"/>
      <c r="F16" s="13"/>
      <c r="G16" s="13"/>
      <c r="H16" s="13"/>
      <c r="I16" s="13"/>
      <c r="J16" s="13"/>
      <c r="K16" s="13"/>
      <c r="L16" s="13"/>
      <c r="M16" s="13"/>
    </row>
    <row r="17" customFormat="false" ht="15" hidden="false" customHeight="false" outlineLevel="0" collapsed="false">
      <c r="A17" s="14" t="s">
        <v>225</v>
      </c>
      <c r="B17" s="39" t="n">
        <v>0.025</v>
      </c>
      <c r="M17" s="18" t="s">
        <v>226</v>
      </c>
    </row>
    <row r="18" customFormat="false" ht="15" hidden="false" customHeight="false" outlineLevel="0" collapsed="false">
      <c r="A18" s="14" t="s">
        <v>227</v>
      </c>
      <c r="B18" s="43" t="n">
        <v>12</v>
      </c>
      <c r="M18" s="18" t="s">
        <v>228</v>
      </c>
    </row>
    <row r="19" customFormat="false" ht="22.35" hidden="false" customHeight="false" outlineLevel="0" collapsed="false">
      <c r="A19" s="14" t="s">
        <v>229</v>
      </c>
      <c r="B19" s="44" t="n">
        <v>1</v>
      </c>
      <c r="M19" s="18" t="s">
        <v>230</v>
      </c>
    </row>
    <row r="20" customFormat="false" ht="43.25" hidden="false" customHeight="false" outlineLevel="0" collapsed="false">
      <c r="A20" s="14" t="s">
        <v>231</v>
      </c>
      <c r="B20" s="45" t="n">
        <v>0</v>
      </c>
      <c r="M20" s="18" t="s">
        <v>232</v>
      </c>
    </row>
    <row r="21" customFormat="false" ht="32.8" hidden="false" customHeight="false" outlineLevel="0" collapsed="false">
      <c r="A21" s="14" t="s">
        <v>233</v>
      </c>
      <c r="B21" s="46"/>
      <c r="M21" s="18" t="s">
        <v>234</v>
      </c>
    </row>
    <row r="23" customFormat="false" ht="15" hidden="false" customHeight="false" outlineLevel="0" collapsed="false">
      <c r="A23" s="12" t="s">
        <v>235</v>
      </c>
      <c r="B23" s="13"/>
      <c r="C23" s="13"/>
      <c r="D23" s="13"/>
      <c r="E23" s="13"/>
      <c r="F23" s="13"/>
      <c r="G23" s="13"/>
      <c r="H23" s="13"/>
      <c r="I23" s="13"/>
      <c r="J23" s="13"/>
      <c r="K23" s="13"/>
      <c r="L23" s="13"/>
      <c r="M23" s="13"/>
    </row>
    <row r="24" customFormat="false" ht="15" hidden="false" customHeight="false" outlineLevel="0" collapsed="false">
      <c r="A24" s="9" t="s">
        <v>236</v>
      </c>
      <c r="G24" s="10" t="s">
        <v>55</v>
      </c>
      <c r="H24" s="10" t="s">
        <v>56</v>
      </c>
      <c r="I24" s="10" t="s">
        <v>57</v>
      </c>
      <c r="J24" s="10" t="s">
        <v>58</v>
      </c>
      <c r="K24" s="10" t="s">
        <v>59</v>
      </c>
      <c r="L24" s="11"/>
      <c r="M24" s="9" t="s">
        <v>237</v>
      </c>
    </row>
    <row r="25" customFormat="false" ht="15" hidden="false" customHeight="false" outlineLevel="0" collapsed="false">
      <c r="A25" s="14" t="s">
        <v>125</v>
      </c>
      <c r="G25" s="29" t="n">
        <f aca="false">'Income Statement'!G$15</f>
        <v>7196.574</v>
      </c>
      <c r="H25" s="29" t="n">
        <f aca="false">'Income Statement'!H$15</f>
        <v>8360.473968</v>
      </c>
      <c r="I25" s="29" t="n">
        <f aca="false">'Income Statement'!I$15</f>
        <v>9350.28686592</v>
      </c>
      <c r="J25" s="29" t="n">
        <f aca="false">'Income Statement'!J$15</f>
        <v>10173.3818299344</v>
      </c>
      <c r="K25" s="29" t="n">
        <f aca="false">'Income Statement'!K$15</f>
        <v>10932.2160483967</v>
      </c>
    </row>
    <row r="26" customFormat="false" ht="15" hidden="false" customHeight="false" outlineLevel="0" collapsed="false">
      <c r="A26" s="14" t="s">
        <v>238</v>
      </c>
      <c r="G26" s="29" t="n">
        <f aca="false">-G25*Assumptions!G$11</f>
        <v>-1007.52036</v>
      </c>
      <c r="H26" s="29" t="n">
        <f aca="false">-H25*Assumptions!H$11</f>
        <v>-1170.46635552</v>
      </c>
      <c r="I26" s="29" t="n">
        <f aca="false">-I25*Assumptions!I$11</f>
        <v>-1309.0401612288</v>
      </c>
      <c r="J26" s="29" t="n">
        <f aca="false">-J25*Assumptions!J$11</f>
        <v>-1424.27345619082</v>
      </c>
      <c r="K26" s="29" t="n">
        <f aca="false">-K25*Assumptions!K$11</f>
        <v>-1530.51024677554</v>
      </c>
    </row>
    <row r="27" customFormat="false" ht="15" hidden="false" customHeight="false" outlineLevel="0" collapsed="false">
      <c r="A27" s="5" t="s">
        <v>239</v>
      </c>
      <c r="G27" s="31" t="n">
        <f aca="false">G25+G26</f>
        <v>6189.05364</v>
      </c>
      <c r="H27" s="31" t="n">
        <f aca="false">H25+H26</f>
        <v>7190.00761248</v>
      </c>
      <c r="I27" s="31" t="n">
        <f aca="false">I25+I26</f>
        <v>8041.2467046912</v>
      </c>
      <c r="J27" s="31" t="n">
        <f aca="false">J25+J26</f>
        <v>8749.10837374359</v>
      </c>
      <c r="K27" s="31" t="n">
        <f aca="false">K25+K26</f>
        <v>9401.70580162118</v>
      </c>
    </row>
    <row r="28" customFormat="false" ht="15" hidden="false" customHeight="false" outlineLevel="0" collapsed="false">
      <c r="A28" s="14" t="s">
        <v>240</v>
      </c>
      <c r="G28" s="29" t="n">
        <f aca="false">'Cash Flow'!G$7</f>
        <v>1971.2</v>
      </c>
      <c r="H28" s="29" t="n">
        <f aca="false">'Cash Flow'!H$7</f>
        <v>2340.45504</v>
      </c>
      <c r="I28" s="29" t="n">
        <f aca="false">'Cash Flow'!I$7</f>
        <v>2570.9612544</v>
      </c>
      <c r="J28" s="29" t="n">
        <f aca="false">'Cash Flow'!J$7</f>
        <v>2699.047080576</v>
      </c>
      <c r="K28" s="29" t="n">
        <f aca="false">'Cash Flow'!K$7</f>
        <v>2762.7647515776</v>
      </c>
    </row>
    <row r="29" customFormat="false" ht="15" hidden="false" customHeight="false" outlineLevel="0" collapsed="false">
      <c r="A29" s="14" t="s">
        <v>241</v>
      </c>
      <c r="G29" s="29" t="n">
        <f aca="false">'Cash Flow'!G$14</f>
        <v>-4279.044</v>
      </c>
      <c r="H29" s="29" t="n">
        <f aca="false">'Cash Flow'!H$14</f>
        <v>-3781.11888</v>
      </c>
      <c r="I29" s="29" t="n">
        <f aca="false">'Cash Flow'!I$14</f>
        <v>-3371.497668</v>
      </c>
      <c r="J29" s="29" t="n">
        <f aca="false">'Cash Flow'!J$14</f>
        <v>-3097.282524336</v>
      </c>
      <c r="K29" s="29" t="n">
        <f aca="false">'Cash Flow'!K$14</f>
        <v>-3001.9815235872</v>
      </c>
    </row>
    <row r="30" customFormat="false" ht="15" hidden="false" customHeight="false" outlineLevel="0" collapsed="false">
      <c r="A30" s="14" t="s">
        <v>242</v>
      </c>
      <c r="G30" s="29" t="n">
        <f aca="false">-('Balance Sheet'!G$29-'Balance Sheet'!F$29)</f>
        <v>-193.880241095891</v>
      </c>
      <c r="H30" s="29" t="n">
        <f aca="false">-('Balance Sheet'!H$29-'Balance Sheet'!G$29)</f>
        <v>-56.6986652054784</v>
      </c>
      <c r="I30" s="29" t="n">
        <f aca="false">-('Balance Sheet'!I$29-'Balance Sheet'!H$29)</f>
        <v>-92.2316760591793</v>
      </c>
      <c r="J30" s="29" t="n">
        <f aca="false">-('Balance Sheet'!J$29-'Balance Sheet'!I$29)</f>
        <v>-202.702445182752</v>
      </c>
      <c r="K30" s="29" t="n">
        <f aca="false">-('Balance Sheet'!K$29-'Balance Sheet'!J$29)</f>
        <v>-143.800071677811</v>
      </c>
    </row>
    <row r="31" customFormat="false" ht="15" hidden="false" customHeight="false" outlineLevel="0" collapsed="false">
      <c r="A31" s="5" t="s">
        <v>243</v>
      </c>
      <c r="G31" s="32" t="n">
        <f aca="false">G27+G28+G29+G30</f>
        <v>3687.32939890411</v>
      </c>
      <c r="H31" s="32" t="n">
        <f aca="false">H27+H28+H29+H30</f>
        <v>5692.64510727452</v>
      </c>
      <c r="I31" s="32" t="n">
        <f aca="false">I27+I28+I29+I30</f>
        <v>7148.47861503202</v>
      </c>
      <c r="J31" s="32" t="n">
        <f aca="false">J27+J28+J29+J30</f>
        <v>8148.17048480083</v>
      </c>
      <c r="K31" s="32" t="n">
        <f aca="false">K27+K28+K29+K30</f>
        <v>9018.68895793377</v>
      </c>
    </row>
    <row r="32" customFormat="false" ht="15" hidden="false" customHeight="false" outlineLevel="0" collapsed="false">
      <c r="A32" s="14" t="s">
        <v>244</v>
      </c>
      <c r="G32" s="47" t="n">
        <f aca="false">1-0.5*$B$19</f>
        <v>0.5</v>
      </c>
      <c r="H32" s="47" t="n">
        <f aca="false">2-0.5*$B$19</f>
        <v>1.5</v>
      </c>
      <c r="I32" s="47" t="n">
        <f aca="false">3-0.5*$B$19</f>
        <v>2.5</v>
      </c>
      <c r="J32" s="47" t="n">
        <f aca="false">4-0.5*$B$19</f>
        <v>3.5</v>
      </c>
      <c r="K32" s="47" t="n">
        <f aca="false">5-0.5*$B$19</f>
        <v>4.5</v>
      </c>
    </row>
    <row r="33" customFormat="false" ht="15" hidden="false" customHeight="false" outlineLevel="0" collapsed="false">
      <c r="A33" s="14" t="s">
        <v>245</v>
      </c>
      <c r="G33" s="48" t="n">
        <f aca="false">1/(1+$B$14)^G32</f>
        <v>0.957716461648558</v>
      </c>
      <c r="H33" s="48" t="n">
        <f aca="false">1/(1+$B$14)^H32</f>
        <v>0.878437479154835</v>
      </c>
      <c r="I33" s="48" t="n">
        <f aca="false">1/(1+$B$14)^I32</f>
        <v>0.805721145750823</v>
      </c>
      <c r="J33" s="48" t="n">
        <f aca="false">1/(1+$B$14)^J32</f>
        <v>0.739024210732239</v>
      </c>
      <c r="K33" s="48" t="n">
        <f aca="false">1/(1+$B$14)^K32</f>
        <v>0.677848393242136</v>
      </c>
    </row>
    <row r="34" customFormat="false" ht="15" hidden="false" customHeight="false" outlineLevel="0" collapsed="false">
      <c r="A34" s="5" t="s">
        <v>246</v>
      </c>
      <c r="G34" s="36" t="n">
        <f aca="false">G31*G33</f>
        <v>3531.41606485115</v>
      </c>
      <c r="H34" s="36" t="n">
        <f aca="false">H31*H33</f>
        <v>5000.63281775734</v>
      </c>
      <c r="I34" s="36" t="n">
        <f aca="false">I31*I33</f>
        <v>5759.68038007886</v>
      </c>
      <c r="J34" s="36" t="n">
        <f aca="false">J31*J33</f>
        <v>6021.69526144166</v>
      </c>
      <c r="K34" s="36" t="n">
        <f aca="false">K31*K33</f>
        <v>6113.303819286</v>
      </c>
    </row>
    <row r="36" customFormat="false" ht="15" hidden="false" customHeight="false" outlineLevel="0" collapsed="false">
      <c r="A36" s="12" t="s">
        <v>247</v>
      </c>
      <c r="B36" s="13"/>
      <c r="C36" s="13"/>
      <c r="D36" s="13"/>
      <c r="E36" s="13"/>
      <c r="F36" s="13"/>
      <c r="G36" s="13"/>
      <c r="H36" s="13"/>
      <c r="I36" s="13"/>
      <c r="J36" s="13"/>
      <c r="K36" s="13"/>
      <c r="L36" s="13"/>
      <c r="M36" s="13"/>
    </row>
    <row r="37" customFormat="false" ht="15" hidden="false" customHeight="false" outlineLevel="0" collapsed="false">
      <c r="A37" s="14" t="s">
        <v>248</v>
      </c>
      <c r="B37" s="29" t="n">
        <f aca="false">SUM(G34:K34)</f>
        <v>26426.728343415</v>
      </c>
    </row>
    <row r="38" customFormat="false" ht="15" hidden="false" customHeight="false" outlineLevel="0" collapsed="false">
      <c r="A38" s="14" t="s">
        <v>249</v>
      </c>
      <c r="B38" s="29" t="n">
        <f aca="false">K31*(1+B17)/(B14-B17)</f>
        <v>141672.891676354</v>
      </c>
    </row>
    <row r="39" customFormat="false" ht="15" hidden="false" customHeight="false" outlineLevel="0" collapsed="false">
      <c r="A39" s="14" t="s">
        <v>250</v>
      </c>
      <c r="B39" s="29" t="n">
        <f aca="false">B38*K33</f>
        <v>96032.7419887839</v>
      </c>
    </row>
    <row r="40" customFormat="false" ht="15" hidden="false" customHeight="false" outlineLevel="0" collapsed="false">
      <c r="A40" s="5" t="s">
        <v>251</v>
      </c>
      <c r="B40" s="49" t="n">
        <f aca="false">B37+B39</f>
        <v>122459.470332199</v>
      </c>
    </row>
    <row r="41" customFormat="false" ht="22.35" hidden="false" customHeight="false" outlineLevel="0" collapsed="false">
      <c r="A41" s="14" t="s">
        <v>252</v>
      </c>
      <c r="B41" s="30" t="n">
        <f aca="false">B39/B40</f>
        <v>0.784200207042162</v>
      </c>
      <c r="M41" s="18" t="s">
        <v>253</v>
      </c>
    </row>
    <row r="42" customFormat="false" ht="15" hidden="false" customHeight="false" outlineLevel="0" collapsed="false">
      <c r="A42" s="14" t="s">
        <v>254</v>
      </c>
      <c r="B42" s="25" t="n">
        <f aca="false">-'Balance Sheet'!$F$27</f>
        <v>-14048</v>
      </c>
    </row>
    <row r="43" customFormat="false" ht="15" hidden="false" customHeight="false" outlineLevel="0" collapsed="false">
      <c r="A43" s="14" t="s">
        <v>255</v>
      </c>
      <c r="B43" s="25" t="n">
        <f aca="false">'Balance Sheet'!$F$6</f>
        <v>3225</v>
      </c>
    </row>
    <row r="44" customFormat="false" ht="15" hidden="false" customHeight="false" outlineLevel="0" collapsed="false">
      <c r="A44" s="14" t="s">
        <v>256</v>
      </c>
      <c r="B44" s="29" t="n">
        <f aca="false">B20</f>
        <v>0</v>
      </c>
    </row>
    <row r="45" customFormat="false" ht="15" hidden="false" customHeight="false" outlineLevel="0" collapsed="false">
      <c r="A45" s="5" t="s">
        <v>257</v>
      </c>
      <c r="B45" s="36" t="n">
        <f aca="false">B40+B42+B43+B44</f>
        <v>111636.470332199</v>
      </c>
    </row>
    <row r="46" customFormat="false" ht="15" hidden="false" customHeight="false" outlineLevel="0" collapsed="false">
      <c r="A46" s="14" t="s">
        <v>258</v>
      </c>
      <c r="B46" s="33" t="n">
        <f aca="false">'Income Statement'!$F$26</f>
        <v>913</v>
      </c>
    </row>
    <row r="47" customFormat="false" ht="15" hidden="false" customHeight="false" outlineLevel="0" collapsed="false">
      <c r="A47" s="5" t="s">
        <v>259</v>
      </c>
      <c r="B47" s="50" t="n">
        <f aca="false">B45/B46</f>
        <v>122.274337713252</v>
      </c>
    </row>
    <row r="48" customFormat="false" ht="15" hidden="false" customHeight="false" outlineLevel="0" collapsed="false">
      <c r="A48" s="5" t="s">
        <v>260</v>
      </c>
      <c r="B48" s="41" t="str">
        <f aca="false">IF(B21="","n/a — enter a price above",B47/B21-1)</f>
        <v>n/a — enter a price above</v>
      </c>
    </row>
    <row r="50" customFormat="false" ht="15" hidden="false" customHeight="false" outlineLevel="0" collapsed="false">
      <c r="A50" s="12" t="s">
        <v>261</v>
      </c>
      <c r="B50" s="13"/>
      <c r="C50" s="13"/>
      <c r="D50" s="13"/>
      <c r="E50" s="13"/>
      <c r="F50" s="13"/>
      <c r="G50" s="13"/>
      <c r="H50" s="13"/>
      <c r="I50" s="13"/>
      <c r="J50" s="13"/>
      <c r="K50" s="13"/>
      <c r="L50" s="13"/>
      <c r="M50" s="13"/>
    </row>
    <row r="51" customFormat="false" ht="22.35" hidden="false" customHeight="false" outlineLevel="0" collapsed="false">
      <c r="A51" s="14" t="s">
        <v>262</v>
      </c>
      <c r="B51" s="51" t="n">
        <f aca="false">B38/'Income Statement'!$K$30</f>
        <v>10.3448769841736</v>
      </c>
      <c r="M51" s="18" t="s">
        <v>263</v>
      </c>
    </row>
    <row r="52" customFormat="false" ht="15" hidden="false" customHeight="false" outlineLevel="0" collapsed="false">
      <c r="A52" s="14" t="s">
        <v>264</v>
      </c>
      <c r="B52" s="29" t="n">
        <f aca="false">'Income Statement'!$K$30*B18</f>
        <v>164339.769599692</v>
      </c>
    </row>
    <row r="53" customFormat="false" ht="15" hidden="false" customHeight="false" outlineLevel="0" collapsed="false">
      <c r="A53" s="14" t="s">
        <v>265</v>
      </c>
      <c r="B53" s="29" t="n">
        <f aca="false">B37+B52*K33</f>
        <v>137824.177112349</v>
      </c>
    </row>
    <row r="54" customFormat="false" ht="15" hidden="false" customHeight="false" outlineLevel="0" collapsed="false">
      <c r="A54" s="5" t="s">
        <v>266</v>
      </c>
      <c r="B54" s="35" t="n">
        <f aca="false">(B53+B42+B43+B44)/B46</f>
        <v>139.103151273109</v>
      </c>
    </row>
    <row r="55" customFormat="false" ht="15" hidden="false" customHeight="false" outlineLevel="0" collapsed="false">
      <c r="A55" s="14" t="s">
        <v>267</v>
      </c>
      <c r="B55" s="30" t="n">
        <f aca="false">(B14*B52-K31)/(B52+K31)</f>
        <v>0.033531535160173</v>
      </c>
    </row>
    <row r="56" customFormat="false" ht="15" hidden="false" customHeight="false" outlineLevel="0" collapsed="false">
      <c r="A56" s="14" t="s">
        <v>268</v>
      </c>
      <c r="B56" s="51" t="n">
        <f aca="false">B40/'Income Statement'!$G$30</f>
        <v>13.3576013470881</v>
      </c>
    </row>
    <row r="57" customFormat="false" ht="15" hidden="false" customHeight="false" outlineLevel="0" collapsed="false">
      <c r="A57" s="14" t="s">
        <v>269</v>
      </c>
      <c r="B57" s="51" t="n">
        <f aca="false">B40/'Income Statement'!$F$30</f>
        <v>15.4211648825335</v>
      </c>
    </row>
    <row r="58" customFormat="false" ht="15" hidden="false" customHeight="false" outlineLevel="0" collapsed="false">
      <c r="A58" s="14" t="s">
        <v>270</v>
      </c>
      <c r="B58" s="29" t="str">
        <f aca="false">IF(B21="","n/a",B21*B46-B42-B43-B44)</f>
        <v>n/a</v>
      </c>
    </row>
    <row r="60" customFormat="false" ht="15" hidden="false" customHeight="false" outlineLevel="0" collapsed="false">
      <c r="A60" s="12" t="s">
        <v>271</v>
      </c>
      <c r="B60" s="13"/>
      <c r="C60" s="13"/>
      <c r="D60" s="13"/>
      <c r="E60" s="13"/>
      <c r="F60" s="13"/>
      <c r="G60" s="13"/>
      <c r="H60" s="13"/>
      <c r="I60" s="13"/>
      <c r="J60" s="13"/>
      <c r="K60" s="13"/>
      <c r="L60" s="13"/>
      <c r="M60" s="13"/>
    </row>
    <row r="61" customFormat="false" ht="15" hidden="false" customHeight="false" outlineLevel="0" collapsed="false">
      <c r="A61" s="52" t="s">
        <v>272</v>
      </c>
      <c r="B61" s="53" t="n">
        <v>0.015</v>
      </c>
      <c r="C61" s="53" t="n">
        <v>0.02</v>
      </c>
      <c r="D61" s="53" t="n">
        <v>0.025</v>
      </c>
      <c r="E61" s="53" t="n">
        <v>0.03</v>
      </c>
      <c r="F61" s="53" t="n">
        <v>0.035</v>
      </c>
    </row>
    <row r="62" customFormat="false" ht="32.8" hidden="false" customHeight="false" outlineLevel="0" collapsed="false">
      <c r="A62" s="54" t="n">
        <v>0.075</v>
      </c>
      <c r="B62" s="55" t="n">
        <f aca="false">IF($A62-B$61&lt;0.01,"n/m",((G$31/(1+$A62)^G$32+H$31/(1+$A62)^H$32+I$31/(1+$A62)^I$32+J$31/(1+$A62)^J$32+K$31/(1+$A62)^K$32)+(K$31*(1+B$61)/($A62-B$61))/(1+$A62)^K$32+$B$42+$B$43+$B$44)/$B$46)</f>
        <v>138.916433214299</v>
      </c>
      <c r="C62" s="55" t="n">
        <f aca="false">IF($A62-C$61&lt;0.01,"n/m",((G$31/(1+$A62)^G$32+H$31/(1+$A62)^H$32+I$31/(1+$A62)^I$32+J$31/(1+$A62)^J$32+K$31/(1+$A62)^K$32)+(K$31*(1+C$61)/($A62-C$61))/(1+$A62)^K$32+$B$42+$B$43+$B$44)/$B$46)</f>
        <v>150.536244397368</v>
      </c>
      <c r="D62" s="55" t="n">
        <f aca="false">IF($A62-D$61&lt;0.01,"n/m",((G$31/(1+$A62)^G$32+H$31/(1+$A62)^H$32+I$31/(1+$A62)^I$32+J$31/(1+$A62)^J$32+K$31/(1+$A62)^K$32)+(K$31*(1+D$61)/($A62-D$61))/(1+$A62)^K$32+$B$42+$B$43+$B$44)/$B$46)</f>
        <v>164.480017817052</v>
      </c>
      <c r="E62" s="55" t="n">
        <f aca="false">IF($A62-E$61&lt;0.01,"n/m",((G$31/(1+$A62)^G$32+H$31/(1+$A62)^H$32+I$31/(1+$A62)^I$32+J$31/(1+$A62)^J$32+K$31/(1+$A62)^K$32)+(K$31*(1+E$61)/($A62-E$61))/(1+$A62)^K$32+$B$42+$B$43+$B$44)/$B$46)</f>
        <v>181.522407552221</v>
      </c>
      <c r="F62" s="55" t="n">
        <f aca="false">IF($A62-F$61&lt;0.01,"n/m",((G$31/(1+$A62)^G$32+H$31/(1+$A62)^H$32+I$31/(1+$A62)^I$32+J$31/(1+$A62)^J$32+K$31/(1+$A62)^K$32)+(K$31*(1+F$61)/($A62-F$61))/(1+$A62)^K$32+$B$42+$B$43+$B$44)/$B$46)</f>
        <v>202.825394721182</v>
      </c>
      <c r="M62" s="18" t="s">
        <v>273</v>
      </c>
    </row>
    <row r="63" customFormat="false" ht="15" hidden="false" customHeight="false" outlineLevel="0" collapsed="false">
      <c r="A63" s="54" t="n">
        <v>0.08</v>
      </c>
      <c r="B63" s="55" t="n">
        <f aca="false">IF($A63-B$61&lt;0.01,"n/m",((G$31/(1+$A63)^G$32+H$31/(1+$A63)^H$32+I$31/(1+$A63)^I$32+J$31/(1+$A63)^J$32+K$31/(1+$A63)^K$32)+(K$31*(1+B$61)/($A63-B$61))/(1+$A63)^K$32+$B$42+$B$43+$B$44)/$B$46)</f>
        <v>126.948692183499</v>
      </c>
      <c r="C63" s="55" t="n">
        <f aca="false">IF($A63-C$61&lt;0.01,"n/m",((G$31/(1+$A63)^G$32+H$31/(1+$A63)^H$32+I$31/(1+$A63)^I$32+J$31/(1+$A63)^J$32+K$31/(1+$A63)^K$32)+(K$31*(1+C$61)/($A63-C$61))/(1+$A63)^K$32+$B$42+$B$43+$B$44)/$B$46)</f>
        <v>136.622442737542</v>
      </c>
      <c r="D63" s="55" t="n">
        <f aca="false">IF($A63-D$61&lt;0.01,"n/m",((G$31/(1+$A63)^G$32+H$31/(1+$A63)^H$32+I$31/(1+$A63)^I$32+J$31/(1+$A63)^J$32+K$31/(1+$A63)^K$32)+(K$31*(1+D$61)/($A63-D$61))/(1+$A63)^K$32+$B$42+$B$43+$B$44)/$B$46)</f>
        <v>148.055057028683</v>
      </c>
      <c r="E63" s="55" t="n">
        <f aca="false">IF($A63-E$61&lt;0.01,"n/m",((G$31/(1+$A63)^G$32+H$31/(1+$A63)^H$32+I$31/(1+$A63)^I$32+J$31/(1+$A63)^J$32+K$31/(1+$A63)^K$32)+(K$31*(1+E$61)/($A63-E$61))/(1+$A63)^K$32+$B$42+$B$43+$B$44)/$B$46)</f>
        <v>161.774194178052</v>
      </c>
      <c r="F63" s="55" t="n">
        <f aca="false">IF($A63-F$61&lt;0.01,"n/m",((G$31/(1+$A63)^G$32+H$31/(1+$A63)^H$32+I$31/(1+$A63)^I$32+J$31/(1+$A63)^J$32+K$31/(1+$A63)^K$32)+(K$31*(1+F$61)/($A63-F$61))/(1+$A63)^K$32+$B$42+$B$43+$B$44)/$B$46)</f>
        <v>178.542028471725</v>
      </c>
    </row>
    <row r="64" customFormat="false" ht="15" hidden="false" customHeight="false" outlineLevel="0" collapsed="false">
      <c r="A64" s="54" t="n">
        <v>0.085</v>
      </c>
      <c r="B64" s="55" t="n">
        <f aca="false">IF($A64-B$61&lt;0.01,"n/m",((G$31/(1+$A64)^G$32+H$31/(1+$A64)^H$32+I$31/(1+$A64)^I$32+J$31/(1+$A64)^J$32+K$31/(1+$A64)^K$32)+(K$31*(1+B$61)/($A64-B$61))/(1+$A64)^K$32+$B$42+$B$43+$B$44)/$B$46)</f>
        <v>116.697494832826</v>
      </c>
      <c r="C64" s="55" t="n">
        <f aca="false">IF($A64-C$61&lt;0.01,"n/m",((G$31/(1+$A64)^G$32+H$31/(1+$A64)^H$32+I$31/(1+$A64)^I$32+J$31/(1+$A64)^J$32+K$31/(1+$A64)^K$32)+(K$31*(1+C$61)/($A64-C$61))/(1+$A64)^K$32+$B$42+$B$43+$B$44)/$B$46)</f>
        <v>124.856311144019</v>
      </c>
      <c r="D64" s="55" t="n">
        <f aca="false">IF($A64-D$61&lt;0.01,"n/m",((G$31/(1+$A64)^G$32+H$31/(1+$A64)^H$32+I$31/(1+$A64)^I$32+J$31/(1+$A64)^J$32+K$31/(1+$A64)^K$32)+(K$31*(1+D$61)/($A64-D$61))/(1+$A64)^K$32+$B$42+$B$43+$B$44)/$B$46)</f>
        <v>134.374930173744</v>
      </c>
      <c r="E64" s="55" t="n">
        <f aca="false">IF($A64-E$61&lt;0.01,"n/m",((G$31/(1+$A64)^G$32+H$31/(1+$A64)^H$32+I$31/(1+$A64)^I$32+J$31/(1+$A64)^J$32+K$31/(1+$A64)^K$32)+(K$31*(1+E$61)/($A64-E$61))/(1+$A64)^K$32+$B$42+$B$43+$B$44)/$B$46)</f>
        <v>145.624207208874</v>
      </c>
      <c r="F64" s="55" t="n">
        <f aca="false">IF($A64-F$61&lt;0.01,"n/m",((G$31/(1+$A64)^G$32+H$31/(1+$A64)^H$32+I$31/(1+$A64)^I$32+J$31/(1+$A64)^J$32+K$31/(1+$A64)^K$32)+(K$31*(1+F$61)/($A64-F$61))/(1+$A64)^K$32+$B$42+$B$43+$B$44)/$B$46)</f>
        <v>159.12333965103</v>
      </c>
    </row>
    <row r="65" customFormat="false" ht="15" hidden="false" customHeight="false" outlineLevel="0" collapsed="false">
      <c r="A65" s="54" t="n">
        <v>0.09</v>
      </c>
      <c r="B65" s="55" t="n">
        <f aca="false">IF($A65-B$61&lt;0.01,"n/m",((G$31/(1+$A65)^G$32+H$31/(1+$A65)^H$32+I$31/(1+$A65)^I$32+J$31/(1+$A65)^J$32+K$31/(1+$A65)^K$32)+(K$31*(1+B$61)/($A65-B$61))/(1+$A65)^K$32+$B$42+$B$43+$B$44)/$B$46)</f>
        <v>107.819394278737</v>
      </c>
      <c r="C65" s="55" t="n">
        <f aca="false">IF($A65-C$61&lt;0.01,"n/m",((G$31/(1+$A65)^G$32+H$31/(1+$A65)^H$32+I$31/(1+$A65)^I$32+J$31/(1+$A65)^J$32+K$31/(1+$A65)^K$32)+(K$31*(1+C$61)/($A65-C$61))/(1+$A65)^K$32+$B$42+$B$43+$B$44)/$B$46)</f>
        <v>114.777493053886</v>
      </c>
      <c r="D65" s="55" t="n">
        <f aca="false">IF($A65-D$61&lt;0.01,"n/m",((G$31/(1+$A65)^G$32+H$31/(1+$A65)^H$32+I$31/(1+$A65)^I$32+J$31/(1+$A65)^J$32+K$31/(1+$A65)^K$32)+(K$31*(1+D$61)/($A65-D$61))/(1+$A65)^K$32+$B$42+$B$43+$B$44)/$B$46)</f>
        <v>122.806068563674</v>
      </c>
      <c r="E65" s="55" t="n">
        <f aca="false">IF($A65-E$61&lt;0.01,"n/m",((G$31/(1+$A65)^G$32+H$31/(1+$A65)^H$32+I$31/(1+$A65)^I$32+J$31/(1+$A65)^J$32+K$31/(1+$A65)^K$32)+(K$31*(1+E$61)/($A65-E$61))/(1+$A65)^K$32+$B$42+$B$43+$B$44)/$B$46)</f>
        <v>132.17273999176</v>
      </c>
      <c r="F65" s="55" t="n">
        <f aca="false">IF($A65-F$61&lt;0.01,"n/m",((G$31/(1+$A65)^G$32+H$31/(1+$A65)^H$32+I$31/(1+$A65)^I$32+J$31/(1+$A65)^J$32+K$31/(1+$A65)^K$32)+(K$31*(1+F$61)/($A65-F$61))/(1+$A65)^K$32+$B$42+$B$43+$B$44)/$B$46)</f>
        <v>143.242442588589</v>
      </c>
    </row>
    <row r="66" customFormat="false" ht="15" hidden="false" customHeight="false" outlineLevel="0" collapsed="false">
      <c r="A66" s="54" t="n">
        <v>0.095</v>
      </c>
      <c r="B66" s="55" t="n">
        <f aca="false">IF($A66-B$61&lt;0.01,"n/m",((G$31/(1+$A66)^G$32+H$31/(1+$A66)^H$32+I$31/(1+$A66)^I$32+J$31/(1+$A66)^J$32+K$31/(1+$A66)^K$32)+(K$31*(1+B$61)/($A66-B$61))/(1+$A66)^K$32+$B$42+$B$43+$B$44)/$B$46)</f>
        <v>100.056808783634</v>
      </c>
      <c r="C66" s="55" t="n">
        <f aca="false">IF($A66-C$61&lt;0.01,"n/m",((G$31/(1+$A66)^G$32+H$31/(1+$A66)^H$32+I$31/(1+$A66)^I$32+J$31/(1+$A66)^J$32+K$31/(1+$A66)^K$32)+(K$31*(1+C$61)/($A66-C$61))/(1+$A66)^K$32+$B$42+$B$43+$B$44)/$B$46)</f>
        <v>106.04839714201</v>
      </c>
      <c r="D66" s="55" t="n">
        <f aca="false">IF($A66-D$61&lt;0.01,"n/m",((G$31/(1+$A66)^G$32+H$31/(1+$A66)^H$32+I$31/(1+$A66)^I$32+J$31/(1+$A66)^J$32+K$31/(1+$A66)^K$32)+(K$31*(1+D$61)/($A66-D$61))/(1+$A66)^K$32+$B$42+$B$43+$B$44)/$B$46)</f>
        <v>112.895926694439</v>
      </c>
      <c r="E66" s="55" t="n">
        <f aca="false">IF($A66-E$61&lt;0.01,"n/m",((G$31/(1+$A66)^G$32+H$31/(1+$A66)^H$32+I$31/(1+$A66)^I$32+J$31/(1+$A66)^J$32+K$31/(1+$A66)^K$32)+(K$31*(1+E$61)/($A66-E$61))/(1+$A66)^K$32+$B$42+$B$43+$B$44)/$B$46)</f>
        <v>120.796922331858</v>
      </c>
      <c r="F66" s="55" t="n">
        <f aca="false">IF($A66-F$61&lt;0.01,"n/m",((G$31/(1+$A66)^G$32+H$31/(1+$A66)^H$32+I$31/(1+$A66)^I$32+J$31/(1+$A66)^J$32+K$31/(1+$A66)^K$32)+(K$31*(1+F$61)/($A66-F$61))/(1+$A66)^K$32+$B$42+$B$43+$B$44)/$B$46)</f>
        <v>130.014750575513</v>
      </c>
    </row>
    <row r="67" customFormat="false" ht="15" hidden="false" customHeight="false" outlineLevel="0" collapsed="false">
      <c r="A67" s="54" t="n">
        <v>0.1</v>
      </c>
      <c r="B67" s="55" t="n">
        <f aca="false">IF($A67-B$61&lt;0.01,"n/m",((G$31/(1+$A67)^G$32+H$31/(1+$A67)^H$32+I$31/(1+$A67)^I$32+J$31/(1+$A67)^J$32+K$31/(1+$A67)^K$32)+(K$31*(1+B$61)/($A67-B$61))/(1+$A67)^K$32+$B$42+$B$43+$B$44)/$B$46)</f>
        <v>93.212767200279</v>
      </c>
      <c r="C67" s="55" t="n">
        <f aca="false">IF($A67-C$61&lt;0.01,"n/m",((G$31/(1+$A67)^G$32+H$31/(1+$A67)^H$32+I$31/(1+$A67)^I$32+J$31/(1+$A67)^J$32+K$31/(1+$A67)^K$32)+(K$31*(1+C$61)/($A67-C$61))/(1+$A67)^K$32+$B$42+$B$43+$B$44)/$B$46)</f>
        <v>98.415833082029</v>
      </c>
      <c r="D67" s="55" t="n">
        <f aca="false">IF($A67-D$61&lt;0.01,"n/m",((G$31/(1+$A67)^G$32+H$31/(1+$A67)^H$32+I$31/(1+$A67)^I$32+J$31/(1+$A67)^J$32+K$31/(1+$A67)^K$32)+(K$31*(1+D$61)/($A67-D$61))/(1+$A67)^K$32+$B$42+$B$43+$B$44)/$B$46)</f>
        <v>104.312641081345</v>
      </c>
      <c r="E67" s="55" t="n">
        <f aca="false">IF($A67-E$61&lt;0.01,"n/m",((G$31/(1+$A67)^G$32+H$31/(1+$A67)^H$32+I$31/(1+$A67)^I$32+J$31/(1+$A67)^J$32+K$31/(1+$A67)^K$32)+(K$31*(1+E$61)/($A67-E$61))/(1+$A67)^K$32+$B$42+$B$43+$B$44)/$B$46)</f>
        <v>111.051850223422</v>
      </c>
      <c r="F67" s="55" t="n">
        <f aca="false">IF($A67-F$61&lt;0.01,"n/m",((G$31/(1+$A67)^G$32+H$31/(1+$A67)^H$32+I$31/(1+$A67)^I$32+J$31/(1+$A67)^J$32+K$31/(1+$A67)^K$32)+(K$31*(1+F$61)/($A67-F$61))/(1+$A67)^K$32+$B$42+$B$43+$B$44)/$B$46)</f>
        <v>118.827860771971</v>
      </c>
    </row>
    <row r="68" customFormat="false" ht="15" hidden="false" customHeight="false" outlineLevel="0" collapsed="false">
      <c r="A68" s="54" t="n">
        <v>0.105</v>
      </c>
      <c r="B68" s="55" t="n">
        <f aca="false">IF($A68-B$61&lt;0.01,"n/m",((G$31/(1+$A68)^G$32+H$31/(1+$A68)^H$32+I$31/(1+$A68)^I$32+J$31/(1+$A68)^J$32+K$31/(1+$A68)^K$32)+(K$31*(1+B$61)/($A68-B$61))/(1+$A68)^K$32+$B$42+$B$43+$B$44)/$B$46)</f>
        <v>87.1340726048396</v>
      </c>
      <c r="C68" s="55" t="n">
        <f aca="false">IF($A68-C$61&lt;0.01,"n/m",((G$31/(1+$A68)^G$32+H$31/(1+$A68)^H$32+I$31/(1+$A68)^I$32+J$31/(1+$A68)^J$32+K$31/(1+$A68)^K$32)+(K$31*(1+C$61)/($A68-C$61))/(1+$A68)^K$32+$B$42+$B$43+$B$44)/$B$46)</f>
        <v>91.6861876304662</v>
      </c>
      <c r="D68" s="55" t="n">
        <f aca="false">IF($A68-D$61&lt;0.01,"n/m",((G$31/(1+$A68)^G$32+H$31/(1+$A68)^H$32+I$31/(1+$A68)^I$32+J$31/(1+$A68)^J$32+K$31/(1+$A68)^K$32)+(K$31*(1+D$61)/($A68-D$61))/(1+$A68)^K$32+$B$42+$B$43+$B$44)/$B$46)</f>
        <v>96.807317034296</v>
      </c>
      <c r="E68" s="55" t="n">
        <f aca="false">IF($A68-E$61&lt;0.01,"n/m",((G$31/(1+$A68)^G$32+H$31/(1+$A68)^H$32+I$31/(1+$A68)^I$32+J$31/(1+$A68)^J$32+K$31/(1+$A68)^K$32)+(K$31*(1+E$61)/($A68-E$61))/(1+$A68)^K$32+$B$42+$B$43+$B$44)/$B$46)</f>
        <v>102.61126369197</v>
      </c>
      <c r="F68" s="55" t="n">
        <f aca="false">IF($A68-F$61&lt;0.01,"n/m",((G$31/(1+$A68)^G$32+H$31/(1+$A68)^H$32+I$31/(1+$A68)^I$32+J$31/(1+$A68)^J$32+K$31/(1+$A68)^K$32)+(K$31*(1+F$61)/($A68-F$61))/(1+$A68)^K$32+$B$42+$B$43+$B$44)/$B$46)</f>
        <v>109.244345586454</v>
      </c>
    </row>
    <row r="70" customFormat="false" ht="15" hidden="false" customHeight="false" outlineLevel="0" collapsed="false">
      <c r="A70" s="12" t="s">
        <v>274</v>
      </c>
      <c r="B70" s="13"/>
      <c r="C70" s="13"/>
      <c r="D70" s="13"/>
      <c r="E70" s="13"/>
      <c r="F70" s="13"/>
      <c r="G70" s="13"/>
      <c r="H70" s="13"/>
      <c r="I70" s="13"/>
      <c r="J70" s="13"/>
      <c r="K70" s="13"/>
      <c r="L70" s="13"/>
      <c r="M70" s="13"/>
    </row>
    <row r="71" customFormat="false" ht="15" hidden="false" customHeight="false" outlineLevel="0" collapsed="false">
      <c r="A71" s="52" t="s">
        <v>275</v>
      </c>
      <c r="B71" s="56" t="n">
        <v>9</v>
      </c>
      <c r="C71" s="56" t="n">
        <v>10.5</v>
      </c>
      <c r="D71" s="56" t="n">
        <v>12</v>
      </c>
      <c r="E71" s="56" t="n">
        <v>13.5</v>
      </c>
      <c r="F71" s="56" t="n">
        <v>15</v>
      </c>
    </row>
    <row r="72" customFormat="false" ht="15" hidden="false" customHeight="false" outlineLevel="0" collapsed="false">
      <c r="A72" s="54" t="n">
        <v>0.075</v>
      </c>
      <c r="B72" s="55" t="n">
        <f aca="false">((G$31/(1+$A72)^G$32+H$31/(1+$A72)^H$32+I$31/(1+$A72)^I$32+J$31/(1+$A72)^J$32+K$31/(1+$A72)^K$32)+('Income Statement'!$K$30*B$71)/(1+$A72)^K$32+$B$42+$B$43+$B$44)/$B$46</f>
        <v>115.730390915965</v>
      </c>
      <c r="C72" s="55" t="n">
        <f aca="false">((G$31/(1+$A72)^G$32+H$31/(1+$A72)^H$32+I$31/(1+$A72)^I$32+J$31/(1+$A72)^J$32+K$31/(1+$A72)^K$32)+('Income Statement'!$K$30*C$71)/(1+$A72)^K$32+$B$42+$B$43+$B$44)/$B$46</f>
        <v>131.980033766859</v>
      </c>
      <c r="D72" s="55" t="n">
        <f aca="false">((G$31/(1+$A72)^G$32+H$31/(1+$A72)^H$32+I$31/(1+$A72)^I$32+J$31/(1+$A72)^J$32+K$31/(1+$A72)^K$32)+('Income Statement'!$K$30*D$71)/(1+$A72)^K$32+$B$42+$B$43+$B$44)/$B$46</f>
        <v>148.229676617752</v>
      </c>
      <c r="E72" s="55" t="n">
        <f aca="false">((G$31/(1+$A72)^G$32+H$31/(1+$A72)^H$32+I$31/(1+$A72)^I$32+J$31/(1+$A72)^J$32+K$31/(1+$A72)^K$32)+('Income Statement'!$K$30*E$71)/(1+$A72)^K$32+$B$42+$B$43+$B$44)/$B$46</f>
        <v>164.479319468646</v>
      </c>
      <c r="F72" s="55" t="n">
        <f aca="false">((G$31/(1+$A72)^G$32+H$31/(1+$A72)^H$32+I$31/(1+$A72)^I$32+J$31/(1+$A72)^J$32+K$31/(1+$A72)^K$32)+('Income Statement'!$K$30*F$71)/(1+$A72)^K$32+$B$42+$B$43+$B$44)/$B$46</f>
        <v>180.72896231954</v>
      </c>
    </row>
    <row r="73" customFormat="false" ht="15" hidden="false" customHeight="false" outlineLevel="0" collapsed="false">
      <c r="A73" s="54" t="n">
        <v>0.08</v>
      </c>
      <c r="B73" s="55" t="n">
        <f aca="false">((G$31/(1+$A73)^G$32+H$31/(1+$A73)^H$32+I$31/(1+$A73)^I$32+J$31/(1+$A73)^J$32+K$31/(1+$A73)^K$32)+('Income Statement'!$K$30*B$71)/(1+$A73)^K$32+$B$42+$B$43+$B$44)/$B$46</f>
        <v>113.333328051729</v>
      </c>
      <c r="C73" s="55" t="n">
        <f aca="false">((G$31/(1+$A73)^G$32+H$31/(1+$A73)^H$32+I$31/(1+$A73)^I$32+J$31/(1+$A73)^J$32+K$31/(1+$A73)^K$32)+('Income Statement'!$K$30*C$71)/(1+$A73)^K$32+$B$42+$B$43+$B$44)/$B$46</f>
        <v>129.247168867458</v>
      </c>
      <c r="D73" s="55" t="n">
        <f aca="false">((G$31/(1+$A73)^G$32+H$31/(1+$A73)^H$32+I$31/(1+$A73)^I$32+J$31/(1+$A73)^J$32+K$31/(1+$A73)^K$32)+('Income Statement'!$K$30*D$71)/(1+$A73)^K$32+$B$42+$B$43+$B$44)/$B$46</f>
        <v>145.161009683186</v>
      </c>
      <c r="E73" s="55" t="n">
        <f aca="false">((G$31/(1+$A73)^G$32+H$31/(1+$A73)^H$32+I$31/(1+$A73)^I$32+J$31/(1+$A73)^J$32+K$31/(1+$A73)^K$32)+('Income Statement'!$K$30*E$71)/(1+$A73)^K$32+$B$42+$B$43+$B$44)/$B$46</f>
        <v>161.074850498915</v>
      </c>
      <c r="F73" s="55" t="n">
        <f aca="false">((G$31/(1+$A73)^G$32+H$31/(1+$A73)^H$32+I$31/(1+$A73)^I$32+J$31/(1+$A73)^J$32+K$31/(1+$A73)^K$32)+('Income Statement'!$K$30*F$71)/(1+$A73)^K$32+$B$42+$B$43+$B$44)/$B$46</f>
        <v>176.988691314644</v>
      </c>
    </row>
    <row r="74" customFormat="false" ht="15" hidden="false" customHeight="false" outlineLevel="0" collapsed="false">
      <c r="A74" s="54" t="n">
        <v>0.085</v>
      </c>
      <c r="B74" s="55" t="n">
        <f aca="false">((G$31/(1+$A74)^G$32+H$31/(1+$A74)^H$32+I$31/(1+$A74)^I$32+J$31/(1+$A74)^J$32+K$31/(1+$A74)^K$32)+('Income Statement'!$K$30*B$71)/(1+$A74)^K$32+$B$42+$B$43+$B$44)/$B$46</f>
        <v>110.994649770269</v>
      </c>
      <c r="C74" s="55" t="n">
        <f aca="false">((G$31/(1+$A74)^G$32+H$31/(1+$A74)^H$32+I$31/(1+$A74)^I$32+J$31/(1+$A74)^J$32+K$31/(1+$A74)^K$32)+('Income Statement'!$K$30*C$71)/(1+$A74)^K$32+$B$42+$B$43+$B$44)/$B$46</f>
        <v>126.581131234681</v>
      </c>
      <c r="D74" s="55" t="n">
        <f aca="false">((G$31/(1+$A74)^G$32+H$31/(1+$A74)^H$32+I$31/(1+$A74)^I$32+J$31/(1+$A74)^J$32+K$31/(1+$A74)^K$32)+('Income Statement'!$K$30*D$71)/(1+$A74)^K$32+$B$42+$B$43+$B$44)/$B$46</f>
        <v>142.167612699092</v>
      </c>
      <c r="E74" s="55" t="n">
        <f aca="false">((G$31/(1+$A74)^G$32+H$31/(1+$A74)^H$32+I$31/(1+$A74)^I$32+J$31/(1+$A74)^J$32+K$31/(1+$A74)^K$32)+('Income Statement'!$K$30*E$71)/(1+$A74)^K$32+$B$42+$B$43+$B$44)/$B$46</f>
        <v>157.754094163504</v>
      </c>
      <c r="F74" s="55" t="n">
        <f aca="false">((G$31/(1+$A74)^G$32+H$31/(1+$A74)^H$32+I$31/(1+$A74)^I$32+J$31/(1+$A74)^J$32+K$31/(1+$A74)^K$32)+('Income Statement'!$K$30*F$71)/(1+$A74)^K$32+$B$42+$B$43+$B$44)/$B$46</f>
        <v>173.340575627915</v>
      </c>
    </row>
    <row r="75" customFormat="false" ht="15" hidden="false" customHeight="false" outlineLevel="0" collapsed="false">
      <c r="A75" s="54" t="n">
        <v>0.09</v>
      </c>
      <c r="B75" s="55" t="n">
        <f aca="false">((G$31/(1+$A75)^G$32+H$31/(1+$A75)^H$32+I$31/(1+$A75)^I$32+J$31/(1+$A75)^J$32+K$31/(1+$A75)^K$32)+('Income Statement'!$K$30*B$71)/(1+$A75)^K$32+$B$42+$B$43+$B$44)/$B$46</f>
        <v>108.712657617741</v>
      </c>
      <c r="C75" s="55" t="n">
        <f aca="false">((G$31/(1+$A75)^G$32+H$31/(1+$A75)^H$32+I$31/(1+$A75)^I$32+J$31/(1+$A75)^J$32+K$31/(1+$A75)^K$32)+('Income Statement'!$K$30*C$71)/(1+$A75)^K$32+$B$42+$B$43+$B$44)/$B$46</f>
        <v>123.979972699452</v>
      </c>
      <c r="D75" s="55" t="n">
        <f aca="false">((G$31/(1+$A75)^G$32+H$31/(1+$A75)^H$32+I$31/(1+$A75)^I$32+J$31/(1+$A75)^J$32+K$31/(1+$A75)^K$32)+('Income Statement'!$K$30*D$71)/(1+$A75)^K$32+$B$42+$B$43+$B$44)/$B$46</f>
        <v>139.247287781163</v>
      </c>
      <c r="E75" s="55" t="n">
        <f aca="false">((G$31/(1+$A75)^G$32+H$31/(1+$A75)^H$32+I$31/(1+$A75)^I$32+J$31/(1+$A75)^J$32+K$31/(1+$A75)^K$32)+('Income Statement'!$K$30*E$71)/(1+$A75)^K$32+$B$42+$B$43+$B$44)/$B$46</f>
        <v>154.514602862874</v>
      </c>
      <c r="F75" s="55" t="n">
        <f aca="false">((G$31/(1+$A75)^G$32+H$31/(1+$A75)^H$32+I$31/(1+$A75)^I$32+J$31/(1+$A75)^J$32+K$31/(1+$A75)^K$32)+('Income Statement'!$K$30*F$71)/(1+$A75)^K$32+$B$42+$B$43+$B$44)/$B$46</f>
        <v>169.781917944585</v>
      </c>
    </row>
    <row r="76" customFormat="false" ht="15" hidden="false" customHeight="false" outlineLevel="0" collapsed="false">
      <c r="A76" s="54" t="n">
        <v>0.095</v>
      </c>
      <c r="B76" s="55" t="n">
        <f aca="false">((G$31/(1+$A76)^G$32+H$31/(1+$A76)^H$32+I$31/(1+$A76)^I$32+J$31/(1+$A76)^J$32+K$31/(1+$A76)^K$32)+('Income Statement'!$K$30*B$71)/(1+$A76)^K$32+$B$42+$B$43+$B$44)/$B$46</f>
        <v>106.485710252681</v>
      </c>
      <c r="C76" s="55" t="n">
        <f aca="false">((G$31/(1+$A76)^G$32+H$31/(1+$A76)^H$32+I$31/(1+$A76)^I$32+J$31/(1+$A76)^J$32+K$31/(1+$A76)^K$32)+('Income Statement'!$K$30*C$71)/(1+$A76)^K$32+$B$42+$B$43+$B$44)/$B$46</f>
        <v>121.441810688736</v>
      </c>
      <c r="D76" s="55" t="n">
        <f aca="false">((G$31/(1+$A76)^G$32+H$31/(1+$A76)^H$32+I$31/(1+$A76)^I$32+J$31/(1+$A76)^J$32+K$31/(1+$A76)^K$32)+('Income Statement'!$K$30*D$71)/(1+$A76)^K$32+$B$42+$B$43+$B$44)/$B$46</f>
        <v>136.397911124791</v>
      </c>
      <c r="E76" s="55" t="n">
        <f aca="false">((G$31/(1+$A76)^G$32+H$31/(1+$A76)^H$32+I$31/(1+$A76)^I$32+J$31/(1+$A76)^J$32+K$31/(1+$A76)^K$32)+('Income Statement'!$K$30*E$71)/(1+$A76)^K$32+$B$42+$B$43+$B$44)/$B$46</f>
        <v>151.354011560845</v>
      </c>
      <c r="F76" s="55" t="n">
        <f aca="false">((G$31/(1+$A76)^G$32+H$31/(1+$A76)^H$32+I$31/(1+$A76)^I$32+J$31/(1+$A76)^J$32+K$31/(1+$A76)^K$32)+('Income Statement'!$K$30*F$71)/(1+$A76)^K$32+$B$42+$B$43+$B$44)/$B$46</f>
        <v>166.3101119969</v>
      </c>
    </row>
    <row r="77" customFormat="false" ht="15" hidden="false" customHeight="false" outlineLevel="0" collapsed="false">
      <c r="A77" s="54" t="n">
        <v>0.1</v>
      </c>
      <c r="B77" s="55" t="n">
        <f aca="false">((G$31/(1+$A77)^G$32+H$31/(1+$A77)^H$32+I$31/(1+$A77)^I$32+J$31/(1+$A77)^J$32+K$31/(1+$A77)^K$32)+('Income Statement'!$K$30*B$71)/(1+$A77)^K$32+$B$42+$B$43+$B$44)/$B$46</f>
        <v>104.312221272202</v>
      </c>
      <c r="C77" s="55" t="n">
        <f aca="false">((G$31/(1+$A77)^G$32+H$31/(1+$A77)^H$32+I$31/(1+$A77)^I$32+J$31/(1+$A77)^J$32+K$31/(1+$A77)^K$32)+('Income Statement'!$K$30*C$71)/(1+$A77)^K$32+$B$42+$B$43+$B$44)/$B$46</f>
        <v>118.964825726556</v>
      </c>
      <c r="D77" s="55" t="n">
        <f aca="false">((G$31/(1+$A77)^G$32+H$31/(1+$A77)^H$32+I$31/(1+$A77)^I$32+J$31/(1+$A77)^J$32+K$31/(1+$A77)^K$32)+('Income Statement'!$K$30*D$71)/(1+$A77)^K$32+$B$42+$B$43+$B$44)/$B$46</f>
        <v>133.61743018091</v>
      </c>
      <c r="E77" s="55" t="n">
        <f aca="false">((G$31/(1+$A77)^G$32+H$31/(1+$A77)^H$32+I$31/(1+$A77)^I$32+J$31/(1+$A77)^J$32+K$31/(1+$A77)^K$32)+('Income Statement'!$K$30*E$71)/(1+$A77)^K$32+$B$42+$B$43+$B$44)/$B$46</f>
        <v>148.270034635263</v>
      </c>
      <c r="F77" s="55" t="n">
        <f aca="false">((G$31/(1+$A77)^G$32+H$31/(1+$A77)^H$32+I$31/(1+$A77)^I$32+J$31/(1+$A77)^J$32+K$31/(1+$A77)^K$32)+('Income Statement'!$K$30*F$71)/(1+$A77)^K$32+$B$42+$B$43+$B$44)/$B$46</f>
        <v>162.922639089617</v>
      </c>
    </row>
    <row r="78" customFormat="false" ht="15" hidden="false" customHeight="false" outlineLevel="0" collapsed="false">
      <c r="A78" s="54" t="n">
        <v>0.105</v>
      </c>
      <c r="B78" s="55" t="n">
        <f aca="false">((G$31/(1+$A78)^G$32+H$31/(1+$A78)^H$32+I$31/(1+$A78)^I$32+J$31/(1+$A78)^J$32+K$31/(1+$A78)^K$32)+('Income Statement'!$K$30*B$71)/(1+$A78)^K$32+$B$42+$B$43+$B$44)/$B$46</f>
        <v>102.190657130408</v>
      </c>
      <c r="C78" s="55" t="n">
        <f aca="false">((G$31/(1+$A78)^G$32+H$31/(1+$A78)^H$32+I$31/(1+$A78)^I$32+J$31/(1+$A78)^J$32+K$31/(1+$A78)^K$32)+('Income Statement'!$K$30*C$71)/(1+$A78)^K$32+$B$42+$B$43+$B$44)/$B$46</f>
        <v>116.547259041107</v>
      </c>
      <c r="D78" s="55" t="n">
        <f aca="false">((G$31/(1+$A78)^G$32+H$31/(1+$A78)^H$32+I$31/(1+$A78)^I$32+J$31/(1+$A78)^J$32+K$31/(1+$A78)^K$32)+('Income Statement'!$K$30*D$71)/(1+$A78)^K$32+$B$42+$B$43+$B$44)/$B$46</f>
        <v>130.903860951807</v>
      </c>
      <c r="E78" s="55" t="n">
        <f aca="false">((G$31/(1+$A78)^G$32+H$31/(1+$A78)^H$32+I$31/(1+$A78)^I$32+J$31/(1+$A78)^J$32+K$31/(1+$A78)^K$32)+('Income Statement'!$K$30*E$71)/(1+$A78)^K$32+$B$42+$B$43+$B$44)/$B$46</f>
        <v>145.260462862507</v>
      </c>
      <c r="F78" s="55" t="n">
        <f aca="false">((G$31/(1+$A78)^G$32+H$31/(1+$A78)^H$32+I$31/(1+$A78)^I$32+J$31/(1+$A78)^J$32+K$31/(1+$A78)^K$32)+('Income Statement'!$K$30*F$71)/(1+$A78)^K$32+$B$42+$B$43+$B$44)/$B$46</f>
        <v>159.617064773206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M3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10"/>
    <col collapsed="false" customWidth="true" hidden="false" outlineLevel="0" max="11" min="3" style="1" width="12.5"/>
    <col collapsed="false" customWidth="true" hidden="false" outlineLevel="0" max="12" min="12" style="1" width="10"/>
    <col collapsed="false" customWidth="true" hidden="false" outlineLevel="0" max="14" min="13" style="1" width="4"/>
    <col collapsed="false" customWidth="true" hidden="false" outlineLevel="0" max="15" min="15" style="1" width="30"/>
  </cols>
  <sheetData>
    <row r="1" customFormat="false" ht="17.35" hidden="false" customHeight="false" outlineLevel="0" collapsed="false">
      <c r="A1" s="7" t="s">
        <v>276</v>
      </c>
    </row>
    <row r="2" customFormat="false" ht="15" hidden="false" customHeight="false" outlineLevel="0" collapsed="false">
      <c r="A2" s="8" t="s">
        <v>277</v>
      </c>
    </row>
    <row r="4" customFormat="false" ht="15" hidden="false" customHeight="false" outlineLevel="0" collapsed="false">
      <c r="A4" s="9" t="s">
        <v>278</v>
      </c>
      <c r="B4" s="10" t="s">
        <v>50</v>
      </c>
      <c r="C4" s="10" t="s">
        <v>51</v>
      </c>
      <c r="D4" s="10" t="s">
        <v>52</v>
      </c>
      <c r="E4" s="10" t="s">
        <v>53</v>
      </c>
      <c r="F4" s="10" t="s">
        <v>54</v>
      </c>
      <c r="G4" s="10" t="s">
        <v>55</v>
      </c>
      <c r="H4" s="10" t="s">
        <v>56</v>
      </c>
      <c r="I4" s="10" t="s">
        <v>57</v>
      </c>
      <c r="J4" s="10" t="s">
        <v>58</v>
      </c>
      <c r="K4" s="10" t="s">
        <v>59</v>
      </c>
      <c r="L4" s="52" t="s">
        <v>279</v>
      </c>
      <c r="M4" s="9" t="s">
        <v>237</v>
      </c>
    </row>
    <row r="5" customFormat="false" ht="15" hidden="false" customHeight="false" outlineLevel="0" collapsed="false">
      <c r="A5" s="12" t="s">
        <v>280</v>
      </c>
      <c r="B5" s="13"/>
      <c r="C5" s="13"/>
      <c r="D5" s="13"/>
      <c r="E5" s="13"/>
      <c r="F5" s="13"/>
      <c r="G5" s="13"/>
      <c r="H5" s="13"/>
      <c r="I5" s="13"/>
      <c r="J5" s="13"/>
      <c r="K5" s="13"/>
    </row>
    <row r="6" customFormat="false" ht="15" hidden="false" customHeight="false" outlineLevel="0" collapsed="false">
      <c r="A6" s="14" t="s">
        <v>281</v>
      </c>
      <c r="B6" s="57" t="n">
        <f aca="false">'Source Data'!B$28-'Source Data'!B$33-'Source Data'!B$34</f>
        <v>0</v>
      </c>
      <c r="C6" s="57" t="n">
        <f aca="false">'Source Data'!C$28-'Source Data'!C$33-'Source Data'!C$34</f>
        <v>0</v>
      </c>
      <c r="D6" s="57" t="n">
        <f aca="false">'Source Data'!D$28-'Source Data'!D$33-'Source Data'!D$34</f>
        <v>0</v>
      </c>
      <c r="E6" s="57" t="n">
        <f aca="false">'Source Data'!E$28-'Source Data'!E$33-'Source Data'!E$34</f>
        <v>0</v>
      </c>
      <c r="F6" s="57" t="n">
        <f aca="false">'Source Data'!F$28-'Source Data'!F$33-'Source Data'!F$34</f>
        <v>0</v>
      </c>
      <c r="L6" s="58" t="str">
        <f aca="false">IF(ABS(B6)+ABS(C6)+ABS(D6)+ABS(E6)+ABS(F6)&lt;2.5,"OK","CHECK")</f>
        <v>OK</v>
      </c>
    </row>
    <row r="7" customFormat="false" ht="15" hidden="false" customHeight="false" outlineLevel="0" collapsed="false">
      <c r="A7" s="14" t="s">
        <v>282</v>
      </c>
      <c r="B7" s="57" t="n">
        <f aca="false">'Source Data'!B$7-'Source Data'!B$8-'Source Data'!B$9</f>
        <v>0</v>
      </c>
      <c r="C7" s="57" t="n">
        <f aca="false">'Source Data'!C$7-'Source Data'!C$8-'Source Data'!C$9</f>
        <v>0</v>
      </c>
      <c r="D7" s="57" t="n">
        <f aca="false">'Source Data'!D$7-'Source Data'!D$8-'Source Data'!D$9</f>
        <v>0</v>
      </c>
      <c r="E7" s="57" t="n">
        <f aca="false">'Source Data'!E$7-'Source Data'!E$8-'Source Data'!E$9</f>
        <v>0</v>
      </c>
      <c r="F7" s="57" t="n">
        <f aca="false">'Source Data'!F$7-'Source Data'!F$8-'Source Data'!F$9</f>
        <v>0</v>
      </c>
      <c r="L7" s="58" t="str">
        <f aca="false">IF(ABS(B7)+ABS(C7)+ABS(D7)+ABS(E7)+ABS(F7)&lt;2.5,"OK","CHECK")</f>
        <v>OK</v>
      </c>
    </row>
    <row r="8" customFormat="false" ht="15" hidden="false" customHeight="false" outlineLevel="0" collapsed="false">
      <c r="A8" s="14" t="s">
        <v>283</v>
      </c>
      <c r="B8" s="57" t="n">
        <f aca="false">'Source Data'!B$14-'Source Data'!B$15-'Source Data'!B$16</f>
        <v>0</v>
      </c>
      <c r="C8" s="57" t="n">
        <f aca="false">'Source Data'!C$14-'Source Data'!C$15-'Source Data'!C$16</f>
        <v>0</v>
      </c>
      <c r="D8" s="57" t="n">
        <f aca="false">'Source Data'!D$14-'Source Data'!D$15-'Source Data'!D$16</f>
        <v>0</v>
      </c>
      <c r="E8" s="57" t="n">
        <f aca="false">'Source Data'!E$14-'Source Data'!E$15-'Source Data'!E$16</f>
        <v>0</v>
      </c>
      <c r="F8" s="57" t="n">
        <f aca="false">'Source Data'!F$14-'Source Data'!F$15-'Source Data'!F$16</f>
        <v>0</v>
      </c>
      <c r="L8" s="58" t="str">
        <f aca="false">IF(ABS(B8)+ABS(C8)+ABS(D8)+ABS(E8)+ABS(F8)&lt;2.5,"OK","CHECK")</f>
        <v>OK</v>
      </c>
    </row>
    <row r="9" customFormat="false" ht="15" hidden="false" customHeight="false" outlineLevel="0" collapsed="false">
      <c r="A9" s="12" t="s">
        <v>284</v>
      </c>
      <c r="B9" s="13"/>
      <c r="C9" s="13"/>
      <c r="D9" s="13"/>
      <c r="E9" s="13"/>
      <c r="F9" s="13"/>
      <c r="G9" s="13"/>
      <c r="H9" s="13"/>
      <c r="I9" s="13"/>
      <c r="J9" s="13"/>
      <c r="K9" s="13"/>
    </row>
    <row r="10" customFormat="false" ht="15" hidden="false" customHeight="false" outlineLevel="0" collapsed="false">
      <c r="A10" s="14" t="s">
        <v>285</v>
      </c>
      <c r="B10" s="57" t="n">
        <f aca="false">'Balance Sheet'!B$25</f>
        <v>0</v>
      </c>
      <c r="C10" s="57" t="n">
        <f aca="false">'Balance Sheet'!C$25</f>
        <v>0</v>
      </c>
      <c r="D10" s="57" t="n">
        <f aca="false">'Balance Sheet'!D$25</f>
        <v>0</v>
      </c>
      <c r="E10" s="57" t="n">
        <f aca="false">'Balance Sheet'!E$25</f>
        <v>0</v>
      </c>
      <c r="F10" s="57" t="n">
        <f aca="false">'Balance Sheet'!F$25</f>
        <v>0</v>
      </c>
      <c r="G10" s="57" t="n">
        <f aca="false">'Balance Sheet'!G$25</f>
        <v>0</v>
      </c>
      <c r="H10" s="57" t="n">
        <f aca="false">'Balance Sheet'!H$25</f>
        <v>0</v>
      </c>
      <c r="I10" s="57" t="n">
        <f aca="false">'Balance Sheet'!I$25</f>
        <v>0</v>
      </c>
      <c r="J10" s="57" t="n">
        <f aca="false">'Balance Sheet'!J$25</f>
        <v>0</v>
      </c>
      <c r="K10" s="57" t="n">
        <f aca="false">'Balance Sheet'!K$25</f>
        <v>0</v>
      </c>
      <c r="L10" s="58" t="str">
        <f aca="false">IF(ABS(B10)+ABS(C10)+ABS(D10)+ABS(E10)+ABS(F10)+ABS(G10)+ABS(H10)+ABS(I10)+ABS(J10)+ABS(K10)&lt;5,"OK","CHECK")</f>
        <v>OK</v>
      </c>
    </row>
    <row r="11" customFormat="false" ht="15" hidden="false" customHeight="false" outlineLevel="0" collapsed="false">
      <c r="A11" s="14" t="s">
        <v>286</v>
      </c>
      <c r="B11" s="57" t="n">
        <f aca="false">'Income Statement'!B$15-'Source Data'!B$12</f>
        <v>0</v>
      </c>
      <c r="C11" s="57" t="n">
        <f aca="false">'Income Statement'!C$15-'Source Data'!C$12</f>
        <v>0</v>
      </c>
      <c r="D11" s="57" t="n">
        <f aca="false">'Income Statement'!D$15-'Source Data'!D$12</f>
        <v>0</v>
      </c>
      <c r="E11" s="57" t="n">
        <f aca="false">'Income Statement'!E$15-'Source Data'!E$12</f>
        <v>0</v>
      </c>
      <c r="F11" s="57" t="n">
        <f aca="false">'Income Statement'!F$15-'Source Data'!F$12</f>
        <v>0</v>
      </c>
      <c r="L11" s="58" t="str">
        <f aca="false">IF(ABS(B11)+ABS(C11)+ABS(D11)+ABS(E11)+ABS(F11)&lt;2.5,"OK","CHECK")</f>
        <v>OK</v>
      </c>
    </row>
    <row r="12" customFormat="false" ht="15" hidden="false" customHeight="false" outlineLevel="0" collapsed="false">
      <c r="A12" s="14" t="s">
        <v>287</v>
      </c>
      <c r="B12" s="57" t="n">
        <f aca="false">'Income Statement'!B$20-'Source Data'!B$14</f>
        <v>0</v>
      </c>
      <c r="C12" s="57" t="n">
        <f aca="false">'Income Statement'!C$20-'Source Data'!C$14</f>
        <v>0</v>
      </c>
      <c r="D12" s="57" t="n">
        <f aca="false">'Income Statement'!D$20-'Source Data'!D$14</f>
        <v>0</v>
      </c>
      <c r="E12" s="57" t="n">
        <f aca="false">'Income Statement'!E$20-'Source Data'!E$14</f>
        <v>0</v>
      </c>
      <c r="F12" s="57" t="n">
        <f aca="false">'Income Statement'!F$20-'Source Data'!F$14</f>
        <v>0</v>
      </c>
      <c r="L12" s="58" t="str">
        <f aca="false">IF(ABS(B12)+ABS(C12)+ABS(D12)+ABS(E12)+ABS(F12)&lt;2.5,"OK","CHECK")</f>
        <v>OK</v>
      </c>
    </row>
    <row r="13" customFormat="false" ht="15" hidden="false" customHeight="false" outlineLevel="0" collapsed="false">
      <c r="A13" s="14" t="s">
        <v>288</v>
      </c>
      <c r="B13" s="57" t="n">
        <f aca="false">'Cash Flow'!B$12-'Source Data'!B$21</f>
        <v>0</v>
      </c>
      <c r="C13" s="57" t="n">
        <f aca="false">'Cash Flow'!C$12-'Source Data'!C$21</f>
        <v>0</v>
      </c>
      <c r="D13" s="57" t="n">
        <f aca="false">'Cash Flow'!D$12-'Source Data'!D$21</f>
        <v>0</v>
      </c>
      <c r="E13" s="57" t="n">
        <f aca="false">'Cash Flow'!E$12-'Source Data'!E$21</f>
        <v>0</v>
      </c>
      <c r="F13" s="57" t="n">
        <f aca="false">'Cash Flow'!F$12-'Source Data'!F$21</f>
        <v>0</v>
      </c>
      <c r="L13" s="58" t="str">
        <f aca="false">IF(ABS(B13)+ABS(C13)+ABS(D13)+ABS(E13)+ABS(F13)&lt;2.5,"OK","CHECK")</f>
        <v>OK</v>
      </c>
    </row>
    <row r="14" customFormat="false" ht="15" hidden="false" customHeight="false" outlineLevel="0" collapsed="false">
      <c r="A14" s="14" t="s">
        <v>289</v>
      </c>
      <c r="B14" s="57" t="n">
        <f aca="false">'Cash Flow'!B$24-'Balance Sheet'!B$6</f>
        <v>0</v>
      </c>
      <c r="C14" s="57" t="n">
        <f aca="false">'Cash Flow'!C$24-'Balance Sheet'!C$6</f>
        <v>0</v>
      </c>
      <c r="D14" s="57" t="n">
        <f aca="false">'Cash Flow'!D$24-'Balance Sheet'!D$6</f>
        <v>0</v>
      </c>
      <c r="E14" s="57" t="n">
        <f aca="false">'Cash Flow'!E$24-'Balance Sheet'!E$6</f>
        <v>0</v>
      </c>
      <c r="F14" s="57" t="n">
        <f aca="false">'Cash Flow'!F$24-'Balance Sheet'!F$6</f>
        <v>0</v>
      </c>
      <c r="G14" s="57" t="n">
        <f aca="false">'Cash Flow'!G$24-'Balance Sheet'!G$6</f>
        <v>0</v>
      </c>
      <c r="H14" s="57" t="n">
        <f aca="false">'Cash Flow'!H$24-'Balance Sheet'!H$6</f>
        <v>0</v>
      </c>
      <c r="I14" s="57" t="n">
        <f aca="false">'Cash Flow'!I$24-'Balance Sheet'!I$6</f>
        <v>0</v>
      </c>
      <c r="J14" s="57" t="n">
        <f aca="false">'Cash Flow'!J$24-'Balance Sheet'!J$6</f>
        <v>0</v>
      </c>
      <c r="K14" s="57" t="n">
        <f aca="false">'Cash Flow'!K$24-'Balance Sheet'!K$6</f>
        <v>0</v>
      </c>
      <c r="L14" s="58" t="str">
        <f aca="false">IF(ABS(B14)+ABS(C14)+ABS(D14)+ABS(E14)+ABS(F14)+ABS(G14)+ABS(H14)+ABS(I14)+ABS(J14)+ABS(K14)&lt;5,"OK","CHECK")</f>
        <v>OK</v>
      </c>
    </row>
    <row r="15" customFormat="false" ht="15" hidden="false" customHeight="false" outlineLevel="0" collapsed="false">
      <c r="A15" s="12" t="s">
        <v>290</v>
      </c>
      <c r="B15" s="13"/>
      <c r="C15" s="13"/>
      <c r="D15" s="13"/>
      <c r="E15" s="13"/>
      <c r="F15" s="13"/>
      <c r="G15" s="13"/>
      <c r="H15" s="13"/>
      <c r="I15" s="13"/>
      <c r="J15" s="13"/>
      <c r="K15" s="13"/>
    </row>
    <row r="16" customFormat="false" ht="481.3" hidden="false" customHeight="false" outlineLevel="0" collapsed="false">
      <c r="A16" s="14" t="s">
        <v>291</v>
      </c>
      <c r="G16" s="29" t="n">
        <f aca="false">'Balance Sheet'!G$6-Assumptions!$B$35</f>
        <v>61.9997589041104</v>
      </c>
      <c r="H16" s="29" t="n">
        <f aca="false">'Balance Sheet'!H$6-Assumptions!$B$35</f>
        <v>-356.369860041641</v>
      </c>
      <c r="I16" s="29" t="n">
        <f aca="false">'Balance Sheet'!I$6-Assumptions!$B$35</f>
        <v>454.268795001306</v>
      </c>
      <c r="J16" s="29" t="n">
        <f aca="false">'Balance Sheet'!J$6-Assumptions!$B$35</f>
        <v>2057.22817845717</v>
      </c>
      <c r="K16" s="29" t="n">
        <f aca="false">'Balance Sheet'!K$6-Assumptions!$B$35</f>
        <v>4330.41973332634</v>
      </c>
      <c r="L16" s="58" t="str">
        <f aca="false">IF(MIN(G16:K16)&lt;0,"FLAG","OK")</f>
        <v>FLAG</v>
      </c>
      <c r="M16" s="18" t="s">
        <v>292</v>
      </c>
    </row>
    <row r="17" customFormat="false" ht="304.45" hidden="false" customHeight="false" outlineLevel="0" collapsed="false">
      <c r="A17" s="14" t="s">
        <v>293</v>
      </c>
      <c r="B17" s="29" t="n">
        <f aca="false">'Cash Flow'!B$28</f>
        <v>2353</v>
      </c>
      <c r="C17" s="29" t="n">
        <f aca="false">'Cash Flow'!C$28</f>
        <v>-1389</v>
      </c>
      <c r="D17" s="29" t="n">
        <f aca="false">'Cash Flow'!D$28</f>
        <v>-2759</v>
      </c>
      <c r="E17" s="29" t="n">
        <f aca="false">'Cash Flow'!E$28</f>
        <v>-3748</v>
      </c>
      <c r="F17" s="29" t="n">
        <f aca="false">'Cash Flow'!F$28</f>
        <v>-3847</v>
      </c>
      <c r="G17" s="29" t="n">
        <f aca="false">'Cash Flow'!G$28</f>
        <v>-2163.00024109589</v>
      </c>
      <c r="H17" s="29" t="n">
        <f aca="false">'Cash Flow'!H$28</f>
        <v>-418.369618945751</v>
      </c>
      <c r="I17" s="29" t="n">
        <f aca="false">'Cash Flow'!I$28</f>
        <v>810.638655042947</v>
      </c>
      <c r="J17" s="29" t="n">
        <f aca="false">'Cash Flow'!J$28</f>
        <v>1602.95938345587</v>
      </c>
      <c r="K17" s="29" t="n">
        <f aca="false">'Cash Flow'!K$28</f>
        <v>2273.19155486917</v>
      </c>
      <c r="L17" s="58" t="str">
        <f aca="false">IF(MIN(G17:K17)&lt;0,"FLAG","OK")</f>
        <v>FLAG</v>
      </c>
      <c r="M17" s="18" t="s">
        <v>294</v>
      </c>
    </row>
    <row r="18" customFormat="false" ht="179.1" hidden="false" customHeight="false" outlineLevel="0" collapsed="false">
      <c r="A18" s="14" t="s">
        <v>295</v>
      </c>
      <c r="B18" s="30" t="n">
        <f aca="false">DCF!$B$41</f>
        <v>0.784200207042162</v>
      </c>
      <c r="L18" s="58" t="str">
        <f aca="false">IF(B18&gt;0.8,"FLAG","OK")</f>
        <v>OK</v>
      </c>
      <c r="M18" s="18" t="s">
        <v>296</v>
      </c>
    </row>
    <row r="19" customFormat="false" ht="220.85" hidden="false" customHeight="false" outlineLevel="0" collapsed="false">
      <c r="A19" s="14" t="s">
        <v>297</v>
      </c>
      <c r="B19" s="30" t="n">
        <f aca="false">'Income Statement'!$K$10-'Income Statement'!$C$10</f>
        <v>-0.0675873776712602</v>
      </c>
      <c r="L19" s="58" t="str">
        <f aca="false">IF(B19&gt;0,"FLAG","OK")</f>
        <v>OK</v>
      </c>
      <c r="M19" s="18" t="s">
        <v>298</v>
      </c>
    </row>
    <row r="21" customFormat="false" ht="15" hidden="false" customHeight="false" outlineLevel="0" collapsed="false">
      <c r="A21" s="12" t="s">
        <v>299</v>
      </c>
      <c r="B21" s="13"/>
      <c r="C21" s="13"/>
      <c r="D21" s="13"/>
      <c r="E21" s="13"/>
      <c r="F21" s="13"/>
      <c r="G21" s="13"/>
      <c r="H21" s="13"/>
      <c r="I21" s="13"/>
      <c r="J21" s="13"/>
      <c r="K21" s="13"/>
    </row>
    <row r="22" customFormat="false" ht="15" hidden="false" customHeight="false" outlineLevel="0" collapsed="false">
      <c r="A22" s="9" t="s">
        <v>300</v>
      </c>
      <c r="B22" s="9" t="s">
        <v>301</v>
      </c>
      <c r="C22" s="59"/>
      <c r="D22" s="59"/>
      <c r="E22" s="59"/>
      <c r="F22" s="59"/>
      <c r="G22" s="59"/>
      <c r="H22" s="59"/>
      <c r="I22" s="59"/>
      <c r="J22" s="59"/>
      <c r="K22" s="59"/>
      <c r="L22" s="59"/>
      <c r="M22" s="59"/>
    </row>
    <row r="23" customFormat="false" ht="45.75" hidden="false" customHeight="true" outlineLevel="0" collapsed="false">
      <c r="A23" s="60" t="s">
        <v>302</v>
      </c>
      <c r="B23" s="61" t="s">
        <v>303</v>
      </c>
    </row>
    <row r="24" customFormat="false" ht="45.75" hidden="false" customHeight="true" outlineLevel="0" collapsed="false">
      <c r="A24" s="60" t="s">
        <v>304</v>
      </c>
      <c r="B24" s="61" t="s">
        <v>305</v>
      </c>
    </row>
    <row r="25" customFormat="false" ht="45.75" hidden="false" customHeight="true" outlineLevel="0" collapsed="false">
      <c r="A25" s="60" t="s">
        <v>306</v>
      </c>
      <c r="B25" s="61" t="s">
        <v>307</v>
      </c>
    </row>
    <row r="26" customFormat="false" ht="45.75" hidden="false" customHeight="true" outlineLevel="0" collapsed="false">
      <c r="A26" s="60" t="s">
        <v>308</v>
      </c>
      <c r="B26" s="61" t="s">
        <v>309</v>
      </c>
    </row>
    <row r="27" customFormat="false" ht="45.75" hidden="false" customHeight="true" outlineLevel="0" collapsed="false">
      <c r="A27" s="60" t="s">
        <v>310</v>
      </c>
      <c r="B27" s="61" t="s">
        <v>311</v>
      </c>
    </row>
    <row r="28" customFormat="false" ht="45.75" hidden="false" customHeight="true" outlineLevel="0" collapsed="false">
      <c r="A28" s="60" t="s">
        <v>312</v>
      </c>
      <c r="B28" s="61" t="s">
        <v>313</v>
      </c>
    </row>
    <row r="29" customFormat="false" ht="45.75" hidden="false" customHeight="true" outlineLevel="0" collapsed="false">
      <c r="A29" s="60" t="s">
        <v>314</v>
      </c>
      <c r="B29" s="61" t="s">
        <v>315</v>
      </c>
    </row>
    <row r="30" customFormat="false" ht="45.75" hidden="false" customHeight="true" outlineLevel="0" collapsed="false">
      <c r="A30" s="60" t="s">
        <v>316</v>
      </c>
      <c r="B30" s="61" t="s">
        <v>317</v>
      </c>
    </row>
    <row r="31" customFormat="false" ht="45.75" hidden="false" customHeight="true" outlineLevel="0" collapsed="false">
      <c r="A31" s="60" t="s">
        <v>318</v>
      </c>
      <c r="B31" s="61" t="s">
        <v>319</v>
      </c>
    </row>
    <row r="32" customFormat="false" ht="45.75" hidden="false" customHeight="true" outlineLevel="0" collapsed="false">
      <c r="A32" s="60" t="s">
        <v>320</v>
      </c>
      <c r="B32" s="61" t="s">
        <v>321</v>
      </c>
    </row>
    <row r="33" customFormat="false" ht="45.75" hidden="false" customHeight="true" outlineLevel="0" collapsed="false">
      <c r="A33" s="60" t="s">
        <v>322</v>
      </c>
      <c r="B33" s="61"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N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2.5"/>
    <col collapsed="false" customWidth="true" hidden="false" outlineLevel="0" max="12" min="12" style="1" width="4"/>
    <col collapsed="false" customWidth="true" hidden="false" outlineLevel="0" max="15" min="13" style="1" width="30"/>
  </cols>
  <sheetData>
    <row r="1" customFormat="false" ht="17.35" hidden="false" customHeight="false" outlineLevel="0" collapsed="false">
      <c r="A1" s="7" t="s">
        <v>324</v>
      </c>
    </row>
    <row r="2" customFormat="false" ht="15" hidden="false" customHeight="false" outlineLevel="0" collapsed="false">
      <c r="A2" s="8" t="s">
        <v>325</v>
      </c>
    </row>
    <row r="3" customFormat="false" ht="15" hidden="false" customHeight="false" outlineLevel="0" collapsed="false">
      <c r="A3" s="8" t="s">
        <v>326</v>
      </c>
    </row>
    <row r="5" customFormat="false" ht="15" hidden="false" customHeight="false" outlineLevel="0" collapsed="false">
      <c r="A5" s="9" t="s">
        <v>49</v>
      </c>
      <c r="B5" s="10" t="s">
        <v>50</v>
      </c>
      <c r="C5" s="10" t="s">
        <v>51</v>
      </c>
      <c r="D5" s="10" t="s">
        <v>52</v>
      </c>
      <c r="E5" s="10" t="s">
        <v>53</v>
      </c>
      <c r="F5" s="10" t="s">
        <v>54</v>
      </c>
      <c r="G5" s="10" t="s">
        <v>55</v>
      </c>
      <c r="H5" s="10" t="s">
        <v>56</v>
      </c>
      <c r="I5" s="10" t="s">
        <v>57</v>
      </c>
      <c r="J5" s="10" t="s">
        <v>58</v>
      </c>
      <c r="K5" s="10" t="s">
        <v>59</v>
      </c>
      <c r="L5" s="11"/>
      <c r="M5" s="9" t="s">
        <v>60</v>
      </c>
    </row>
    <row r="6" customFormat="false" ht="15" hidden="false" customHeight="false" outlineLevel="0" collapsed="false">
      <c r="A6" s="12" t="s">
        <v>327</v>
      </c>
      <c r="B6" s="13"/>
      <c r="C6" s="13"/>
      <c r="D6" s="13"/>
      <c r="E6" s="13"/>
      <c r="F6" s="13"/>
      <c r="G6" s="13"/>
      <c r="H6" s="13"/>
      <c r="I6" s="13"/>
      <c r="J6" s="13"/>
      <c r="K6" s="13"/>
      <c r="L6" s="13"/>
      <c r="M6" s="13"/>
    </row>
    <row r="7" customFormat="false" ht="22.35" hidden="false" customHeight="false" outlineLevel="0" collapsed="false">
      <c r="A7" s="14" t="s">
        <v>115</v>
      </c>
      <c r="B7" s="45" t="n">
        <v>18344</v>
      </c>
      <c r="C7" s="45" t="n">
        <v>20028</v>
      </c>
      <c r="D7" s="45" t="n">
        <v>17519</v>
      </c>
      <c r="E7" s="45" t="n">
        <v>15641</v>
      </c>
      <c r="F7" s="45" t="n">
        <v>17682</v>
      </c>
      <c r="M7" s="18" t="s">
        <v>328</v>
      </c>
      <c r="N7" s="18"/>
    </row>
    <row r="8" customFormat="false" ht="15" hidden="false" customHeight="false" outlineLevel="0" collapsed="false">
      <c r="A8" s="14" t="s">
        <v>117</v>
      </c>
      <c r="B8" s="45" t="n">
        <v>5968</v>
      </c>
      <c r="C8" s="45" t="n">
        <v>6257</v>
      </c>
      <c r="D8" s="45" t="n">
        <v>6500</v>
      </c>
      <c r="E8" s="45" t="n">
        <v>6547</v>
      </c>
      <c r="F8" s="45" t="n">
        <v>7599</v>
      </c>
      <c r="M8" s="18" t="s">
        <v>329</v>
      </c>
      <c r="N8" s="18"/>
    </row>
    <row r="9" customFormat="false" ht="15" hidden="false" customHeight="false" outlineLevel="0" collapsed="false">
      <c r="A9" s="14" t="s">
        <v>118</v>
      </c>
      <c r="B9" s="45" t="n">
        <v>12376</v>
      </c>
      <c r="C9" s="45" t="n">
        <v>13771</v>
      </c>
      <c r="D9" s="45" t="n">
        <v>11019</v>
      </c>
      <c r="E9" s="45" t="n">
        <v>9094</v>
      </c>
      <c r="F9" s="45" t="n">
        <v>10083</v>
      </c>
      <c r="M9" s="18" t="s">
        <v>330</v>
      </c>
      <c r="N9" s="18"/>
    </row>
    <row r="10" customFormat="false" ht="15" hidden="false" customHeight="false" outlineLevel="0" collapsed="false">
      <c r="A10" s="14" t="s">
        <v>121</v>
      </c>
      <c r="B10" s="45" t="n">
        <v>1554</v>
      </c>
      <c r="C10" s="45" t="n">
        <v>1670</v>
      </c>
      <c r="D10" s="45" t="n">
        <v>1863</v>
      </c>
      <c r="E10" s="45" t="n">
        <v>1959</v>
      </c>
      <c r="F10" s="45" t="n">
        <v>2083</v>
      </c>
      <c r="M10" s="18" t="s">
        <v>331</v>
      </c>
      <c r="N10" s="18"/>
    </row>
    <row r="11" customFormat="false" ht="22.35" hidden="false" customHeight="false" outlineLevel="0" collapsed="false">
      <c r="A11" s="14" t="s">
        <v>122</v>
      </c>
      <c r="B11" s="45" t="n">
        <v>1666</v>
      </c>
      <c r="C11" s="45" t="n">
        <v>1704</v>
      </c>
      <c r="D11" s="45" t="n">
        <v>1825</v>
      </c>
      <c r="E11" s="45" t="n">
        <v>1794</v>
      </c>
      <c r="F11" s="45" t="n">
        <v>1860</v>
      </c>
      <c r="M11" s="18" t="s">
        <v>332</v>
      </c>
      <c r="N11" s="18"/>
    </row>
    <row r="12" customFormat="false" ht="15" hidden="false" customHeight="false" outlineLevel="0" collapsed="false">
      <c r="A12" s="14" t="s">
        <v>333</v>
      </c>
      <c r="B12" s="45" t="n">
        <v>8960</v>
      </c>
      <c r="C12" s="45" t="n">
        <v>10140</v>
      </c>
      <c r="D12" s="45" t="n">
        <v>7331</v>
      </c>
      <c r="E12" s="45" t="n">
        <v>5465</v>
      </c>
      <c r="F12" s="45" t="n">
        <v>6023</v>
      </c>
      <c r="M12" s="18" t="s">
        <v>334</v>
      </c>
      <c r="N12" s="18"/>
    </row>
    <row r="13" customFormat="false" ht="15" hidden="false" customHeight="false" outlineLevel="0" collapsed="false">
      <c r="A13" s="14" t="s">
        <v>128</v>
      </c>
      <c r="B13" s="45" t="n">
        <v>184</v>
      </c>
      <c r="C13" s="45" t="n">
        <v>214</v>
      </c>
      <c r="D13" s="45" t="n">
        <v>353</v>
      </c>
      <c r="E13" s="45" t="n">
        <v>508</v>
      </c>
      <c r="F13" s="45" t="n">
        <v>543</v>
      </c>
      <c r="M13" s="18" t="s">
        <v>335</v>
      </c>
      <c r="N13" s="18"/>
    </row>
    <row r="14" customFormat="false" ht="43.25" hidden="false" customHeight="false" outlineLevel="0" collapsed="false">
      <c r="A14" s="14" t="s">
        <v>131</v>
      </c>
      <c r="B14" s="45" t="n">
        <v>8919</v>
      </c>
      <c r="C14" s="45" t="n">
        <v>10032</v>
      </c>
      <c r="D14" s="45" t="n">
        <v>7418</v>
      </c>
      <c r="E14" s="45" t="n">
        <v>5453</v>
      </c>
      <c r="F14" s="45" t="n">
        <v>5710</v>
      </c>
      <c r="M14" s="18" t="s">
        <v>336</v>
      </c>
      <c r="N14" s="18" t="s">
        <v>337</v>
      </c>
    </row>
    <row r="15" customFormat="false" ht="15" hidden="false" customHeight="false" outlineLevel="0" collapsed="false">
      <c r="A15" s="14" t="s">
        <v>132</v>
      </c>
      <c r="B15" s="45" t="n">
        <v>1150</v>
      </c>
      <c r="C15" s="45" t="n">
        <v>1283</v>
      </c>
      <c r="D15" s="45" t="n">
        <v>908</v>
      </c>
      <c r="E15" s="45" t="n">
        <v>654</v>
      </c>
      <c r="F15" s="45" t="n">
        <v>709</v>
      </c>
      <c r="M15" s="18" t="s">
        <v>338</v>
      </c>
      <c r="N15" s="18"/>
    </row>
    <row r="16" customFormat="false" ht="15" hidden="false" customHeight="false" outlineLevel="0" collapsed="false">
      <c r="A16" s="14" t="s">
        <v>134</v>
      </c>
      <c r="B16" s="45" t="n">
        <v>7769</v>
      </c>
      <c r="C16" s="45" t="n">
        <v>8749</v>
      </c>
      <c r="D16" s="45" t="n">
        <v>6510</v>
      </c>
      <c r="E16" s="45" t="n">
        <v>4799</v>
      </c>
      <c r="F16" s="45" t="n">
        <v>5001</v>
      </c>
      <c r="M16" s="18" t="s">
        <v>339</v>
      </c>
      <c r="N16" s="18"/>
    </row>
    <row r="17" customFormat="false" ht="43.25" hidden="false" customHeight="false" outlineLevel="0" collapsed="false">
      <c r="A17" s="14" t="s">
        <v>137</v>
      </c>
      <c r="B17" s="62" t="n">
        <v>936</v>
      </c>
      <c r="C17" s="62" t="n">
        <v>926</v>
      </c>
      <c r="D17" s="62" t="n">
        <v>916</v>
      </c>
      <c r="E17" s="62" t="n">
        <v>919</v>
      </c>
      <c r="F17" s="62" t="n">
        <v>913</v>
      </c>
      <c r="M17" s="18" t="s">
        <v>340</v>
      </c>
      <c r="N17" s="18" t="s">
        <v>341</v>
      </c>
    </row>
    <row r="18" customFormat="false" ht="15" hidden="false" customHeight="false" outlineLevel="0" collapsed="false">
      <c r="A18" s="12" t="s">
        <v>342</v>
      </c>
      <c r="B18" s="13"/>
      <c r="C18" s="13"/>
      <c r="D18" s="13"/>
      <c r="E18" s="13"/>
      <c r="F18" s="13"/>
      <c r="G18" s="13"/>
      <c r="H18" s="13"/>
      <c r="I18" s="13"/>
      <c r="J18" s="13"/>
      <c r="K18" s="13"/>
      <c r="L18" s="13"/>
      <c r="M18" s="13"/>
    </row>
    <row r="19" customFormat="false" ht="64.15" hidden="false" customHeight="false" outlineLevel="0" collapsed="false">
      <c r="A19" s="14" t="s">
        <v>343</v>
      </c>
      <c r="B19" s="45" t="n">
        <v>755</v>
      </c>
      <c r="C19" s="45" t="n">
        <v>925</v>
      </c>
      <c r="D19" s="45" t="n">
        <v>1175</v>
      </c>
      <c r="E19" s="45" t="n">
        <v>1508</v>
      </c>
      <c r="F19" s="45" t="n">
        <v>1918</v>
      </c>
      <c r="M19" s="18" t="s">
        <v>344</v>
      </c>
      <c r="N19" s="18" t="s">
        <v>345</v>
      </c>
    </row>
    <row r="20" customFormat="false" ht="32.8" hidden="false" customHeight="false" outlineLevel="0" collapsed="false">
      <c r="A20" s="14" t="s">
        <v>186</v>
      </c>
      <c r="B20" s="45" t="n">
        <v>2462</v>
      </c>
      <c r="C20" s="45" t="n">
        <v>2797</v>
      </c>
      <c r="D20" s="45" t="n">
        <v>5071</v>
      </c>
      <c r="E20" s="45" t="n">
        <v>4820</v>
      </c>
      <c r="F20" s="45" t="n">
        <v>4550</v>
      </c>
      <c r="M20" s="18" t="s">
        <v>346</v>
      </c>
      <c r="N20" s="18" t="s">
        <v>347</v>
      </c>
    </row>
    <row r="21" customFormat="false" ht="32.8" hidden="false" customHeight="false" outlineLevel="0" collapsed="false">
      <c r="A21" s="14" t="s">
        <v>348</v>
      </c>
      <c r="B21" s="45" t="n">
        <v>8756</v>
      </c>
      <c r="C21" s="45" t="n">
        <v>8720</v>
      </c>
      <c r="D21" s="45" t="n">
        <v>6420</v>
      </c>
      <c r="E21" s="45" t="n">
        <v>6318</v>
      </c>
      <c r="F21" s="45" t="n">
        <v>7153</v>
      </c>
      <c r="M21" s="18" t="s">
        <v>349</v>
      </c>
      <c r="N21" s="18" t="s">
        <v>350</v>
      </c>
    </row>
    <row r="22" customFormat="false" ht="15" hidden="false" customHeight="false" outlineLevel="0" collapsed="false">
      <c r="A22" s="12" t="s">
        <v>351</v>
      </c>
      <c r="B22" s="13"/>
      <c r="C22" s="13"/>
      <c r="D22" s="13"/>
      <c r="E22" s="13"/>
      <c r="F22" s="13"/>
      <c r="G22" s="13"/>
      <c r="H22" s="13"/>
      <c r="I22" s="13"/>
      <c r="J22" s="13"/>
      <c r="K22" s="13"/>
      <c r="L22" s="13"/>
      <c r="M22" s="13"/>
    </row>
    <row r="23" customFormat="false" ht="22.35" hidden="false" customHeight="false" outlineLevel="0" collapsed="false">
      <c r="A23" s="14" t="s">
        <v>146</v>
      </c>
      <c r="B23" s="45" t="n">
        <v>4631</v>
      </c>
      <c r="C23" s="45" t="n">
        <v>3050</v>
      </c>
      <c r="D23" s="45" t="n">
        <v>2964</v>
      </c>
      <c r="E23" s="45" t="n">
        <v>3200</v>
      </c>
      <c r="F23" s="45" t="n">
        <v>3225</v>
      </c>
      <c r="M23" s="18" t="s">
        <v>352</v>
      </c>
      <c r="N23" s="18"/>
    </row>
    <row r="24" customFormat="false" ht="15" hidden="false" customHeight="false" outlineLevel="0" collapsed="false">
      <c r="A24" s="14" t="s">
        <v>149</v>
      </c>
      <c r="B24" s="45" t="n">
        <v>1701</v>
      </c>
      <c r="C24" s="45" t="n">
        <v>1895</v>
      </c>
      <c r="D24" s="45" t="n">
        <v>1787</v>
      </c>
      <c r="E24" s="45" t="n">
        <v>1719</v>
      </c>
      <c r="F24" s="45" t="n">
        <v>1963</v>
      </c>
      <c r="M24" s="18" t="s">
        <v>353</v>
      </c>
      <c r="N24" s="18"/>
    </row>
    <row r="25" customFormat="false" ht="15" hidden="false" customHeight="false" outlineLevel="0" collapsed="false">
      <c r="A25" s="14" t="s">
        <v>150</v>
      </c>
      <c r="B25" s="45" t="n">
        <v>1910</v>
      </c>
      <c r="C25" s="45" t="n">
        <v>2757</v>
      </c>
      <c r="D25" s="45" t="n">
        <v>3999</v>
      </c>
      <c r="E25" s="45" t="n">
        <v>4527</v>
      </c>
      <c r="F25" s="45" t="n">
        <v>4804</v>
      </c>
      <c r="M25" s="18" t="s">
        <v>354</v>
      </c>
      <c r="N25" s="18"/>
    </row>
    <row r="26" customFormat="false" ht="15" hidden="false" customHeight="false" outlineLevel="0" collapsed="false">
      <c r="A26" s="14" t="s">
        <v>151</v>
      </c>
      <c r="B26" s="45" t="n">
        <v>13685</v>
      </c>
      <c r="C26" s="45" t="n">
        <v>14021</v>
      </c>
      <c r="D26" s="45" t="n">
        <v>15122</v>
      </c>
      <c r="E26" s="45" t="n">
        <v>15026</v>
      </c>
      <c r="F26" s="45" t="n">
        <v>13750</v>
      </c>
      <c r="M26" s="18" t="s">
        <v>355</v>
      </c>
      <c r="N26" s="18"/>
    </row>
    <row r="27" customFormat="false" ht="15" hidden="false" customHeight="false" outlineLevel="0" collapsed="false">
      <c r="A27" s="14" t="s">
        <v>152</v>
      </c>
      <c r="B27" s="45" t="n">
        <v>5141</v>
      </c>
      <c r="C27" s="45" t="n">
        <v>6876</v>
      </c>
      <c r="D27" s="45" t="n">
        <v>9999</v>
      </c>
      <c r="E27" s="45" t="n">
        <v>11347</v>
      </c>
      <c r="F27" s="45" t="n">
        <v>12320</v>
      </c>
      <c r="M27" s="18" t="s">
        <v>356</v>
      </c>
      <c r="N27" s="18"/>
    </row>
    <row r="28" customFormat="false" ht="15" hidden="false" customHeight="false" outlineLevel="0" collapsed="false">
      <c r="A28" s="14" t="s">
        <v>357</v>
      </c>
      <c r="B28" s="45" t="n">
        <v>24676</v>
      </c>
      <c r="C28" s="45" t="n">
        <v>27207</v>
      </c>
      <c r="D28" s="45" t="n">
        <v>32348</v>
      </c>
      <c r="E28" s="45" t="n">
        <v>35509</v>
      </c>
      <c r="F28" s="45" t="n">
        <v>34585</v>
      </c>
      <c r="M28" s="18" t="s">
        <v>358</v>
      </c>
      <c r="N28" s="18"/>
    </row>
    <row r="29" customFormat="false" ht="15" hidden="false" customHeight="false" outlineLevel="0" collapsed="false">
      <c r="A29" s="14" t="s">
        <v>157</v>
      </c>
      <c r="B29" s="45" t="n">
        <v>571</v>
      </c>
      <c r="C29" s="45" t="n">
        <v>851</v>
      </c>
      <c r="D29" s="45" t="n">
        <v>802</v>
      </c>
      <c r="E29" s="45" t="n">
        <v>820</v>
      </c>
      <c r="F29" s="45" t="n">
        <v>756</v>
      </c>
      <c r="M29" s="18" t="s">
        <v>359</v>
      </c>
      <c r="N29" s="18"/>
    </row>
    <row r="30" customFormat="false" ht="15" hidden="false" customHeight="false" outlineLevel="0" collapsed="false">
      <c r="A30" s="14" t="s">
        <v>161</v>
      </c>
      <c r="B30" s="45" t="n">
        <v>2569</v>
      </c>
      <c r="C30" s="45" t="n">
        <v>2985</v>
      </c>
      <c r="D30" s="45" t="n">
        <v>3320</v>
      </c>
      <c r="E30" s="45" t="n">
        <v>3643</v>
      </c>
      <c r="F30" s="45" t="n">
        <v>3159</v>
      </c>
      <c r="M30" s="18" t="s">
        <v>360</v>
      </c>
      <c r="N30" s="18"/>
    </row>
    <row r="31" customFormat="false" ht="53.7" hidden="false" customHeight="false" outlineLevel="0" collapsed="false">
      <c r="A31" s="14" t="s">
        <v>158</v>
      </c>
      <c r="B31" s="45" t="n">
        <v>500</v>
      </c>
      <c r="C31" s="45" t="n">
        <v>500</v>
      </c>
      <c r="D31" s="45" t="n">
        <v>599</v>
      </c>
      <c r="E31" s="45" t="n">
        <v>750</v>
      </c>
      <c r="F31" s="45" t="n">
        <v>500</v>
      </c>
      <c r="M31" s="18" t="s">
        <v>361</v>
      </c>
      <c r="N31" s="18" t="s">
        <v>362</v>
      </c>
    </row>
    <row r="32" customFormat="false" ht="15" hidden="false" customHeight="false" outlineLevel="0" collapsed="false">
      <c r="A32" s="14" t="s">
        <v>162</v>
      </c>
      <c r="B32" s="45" t="n">
        <v>7241</v>
      </c>
      <c r="C32" s="45" t="n">
        <v>8235</v>
      </c>
      <c r="D32" s="45" t="n">
        <v>10624</v>
      </c>
      <c r="E32" s="45" t="n">
        <v>12846</v>
      </c>
      <c r="F32" s="45" t="n">
        <v>13548</v>
      </c>
      <c r="M32" s="18" t="s">
        <v>363</v>
      </c>
      <c r="N32" s="18"/>
    </row>
    <row r="33" customFormat="false" ht="15" hidden="false" customHeight="false" outlineLevel="0" collapsed="false">
      <c r="A33" s="14" t="s">
        <v>165</v>
      </c>
      <c r="B33" s="45" t="n">
        <v>11343</v>
      </c>
      <c r="C33" s="45" t="n">
        <v>12630</v>
      </c>
      <c r="D33" s="45" t="n">
        <v>15451</v>
      </c>
      <c r="E33" s="45" t="n">
        <v>18606</v>
      </c>
      <c r="F33" s="45" t="n">
        <v>18312</v>
      </c>
      <c r="M33" s="18" t="s">
        <v>364</v>
      </c>
      <c r="N33" s="18"/>
    </row>
    <row r="34" customFormat="false" ht="15" hidden="false" customHeight="false" outlineLevel="0" collapsed="false">
      <c r="A34" s="14" t="s">
        <v>166</v>
      </c>
      <c r="B34" s="45" t="n">
        <v>13333</v>
      </c>
      <c r="C34" s="45" t="n">
        <v>14577</v>
      </c>
      <c r="D34" s="45" t="n">
        <v>16897</v>
      </c>
      <c r="E34" s="45" t="n">
        <v>16903</v>
      </c>
      <c r="F34" s="45" t="n">
        <v>16273</v>
      </c>
      <c r="M34" s="18" t="s">
        <v>365</v>
      </c>
      <c r="N34" s="18"/>
    </row>
    <row r="36" customFormat="false" ht="15" hidden="false" customHeight="false" outlineLevel="0" collapsed="false">
      <c r="A36" s="12" t="s">
        <v>366</v>
      </c>
      <c r="B36" s="13"/>
      <c r="C36" s="13"/>
      <c r="D36" s="13"/>
      <c r="E36" s="13"/>
      <c r="F36" s="13"/>
      <c r="G36" s="13"/>
      <c r="H36" s="13"/>
      <c r="I36" s="13"/>
      <c r="J36" s="13"/>
      <c r="K36" s="13"/>
      <c r="L36" s="13"/>
      <c r="M36" s="13"/>
    </row>
    <row r="37" customFormat="false" ht="15" hidden="false" customHeight="false" outlineLevel="0" collapsed="false">
      <c r="B37" s="63" t="s">
        <v>367</v>
      </c>
    </row>
    <row r="38" customFormat="false" ht="32.8" hidden="false" customHeight="false" outlineLevel="0" collapsed="false">
      <c r="A38" s="14" t="s">
        <v>146</v>
      </c>
      <c r="B38" s="45" t="n">
        <v>3107</v>
      </c>
      <c r="M38" s="18" t="s">
        <v>368</v>
      </c>
    </row>
    <row r="39" customFormat="false" ht="15" hidden="false" customHeight="false" outlineLevel="0" collapsed="false">
      <c r="A39" s="14" t="s">
        <v>149</v>
      </c>
      <c r="B39" s="45" t="n">
        <v>1414</v>
      </c>
    </row>
    <row r="40" customFormat="false" ht="15" hidden="false" customHeight="false" outlineLevel="0" collapsed="false">
      <c r="A40" s="14" t="s">
        <v>150</v>
      </c>
      <c r="B40" s="45" t="n">
        <v>1955</v>
      </c>
    </row>
    <row r="41" customFormat="false" ht="15" hidden="false" customHeight="false" outlineLevel="0" collapsed="false">
      <c r="A41" s="14" t="s">
        <v>157</v>
      </c>
      <c r="B41" s="45" t="n">
        <v>415</v>
      </c>
    </row>
    <row r="42" customFormat="false" ht="15" hidden="false" customHeight="false" outlineLevel="0" collapsed="false">
      <c r="A42" s="14" t="s">
        <v>152</v>
      </c>
      <c r="B42" s="45" t="n">
        <v>3269</v>
      </c>
    </row>
    <row r="43" customFormat="false" ht="15" hidden="false" customHeight="false" outlineLevel="0" collapsed="false">
      <c r="A43" s="14" t="s">
        <v>162</v>
      </c>
      <c r="B43" s="45" t="n">
        <v>6248</v>
      </c>
    </row>
    <row r="44" customFormat="false" ht="15" hidden="false" customHeight="false" outlineLevel="0" collapsed="false">
      <c r="A44" s="14" t="s">
        <v>158</v>
      </c>
      <c r="B44" s="45" t="n">
        <v>550</v>
      </c>
    </row>
    <row r="45" customFormat="false" ht="15" hidden="false" customHeight="false" outlineLevel="0" collapsed="false">
      <c r="A45" s="14" t="s">
        <v>166</v>
      </c>
      <c r="B45" s="45" t="n">
        <v>9187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2026-08-15T08:57:02Z</dcterms:created>
  <dc:creator>openpyxl</dc:creator>
  <dc:description/>
  <dc:language>en-US</dc:language>
  <cp:lastModifiedBy/>
  <dcterms:modified xsi:type="dcterms:W3CDTF">2026-08-15T08:57:02Z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